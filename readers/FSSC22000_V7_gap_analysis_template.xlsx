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1649C49-61CB-4017-B2C3-763F1882DE3F}" xr6:coauthVersionLast="47" xr6:coauthVersionMax="47" xr10:uidLastSave="{00000000-0000-0000-0000-000000000000}"/>
  <bookViews>
    <workbookView xWindow="-120" yWindow="-120" windowWidth="29040" windowHeight="15720" xr2:uid="{00000000-000D-0000-FFFF-FFFF00000000}"/>
  </bookViews>
  <sheets>
    <sheet name="目次" sheetId="1" r:id="rId1"/>
    <sheet name="4.1_PRP棚卸し" sheetId="2" r:id="rId2"/>
    <sheet name="4.2_食品安全文化" sheetId="3" r:id="rId3"/>
    <sheet name="4.3_食品ロスKPI" sheetId="4" r:id="rId4"/>
    <sheet name="4.4_表示管理" sheetId="5" r:id="rId5"/>
    <sheet name="4.5_AI自主点検" sheetId="6" r:id="rId6"/>
    <sheet name="4.6_総合ギャップ分析" sheetId="7" r:id="rId7"/>
  </sheets>
  <definedNames>
    <definedName name="_xlnm.Print_Titles" localSheetId="1">'4.1_PRP棚卸し'!$6:$6</definedName>
    <definedName name="_xlnm.Print_Titles" localSheetId="2">'4.2_食品安全文化'!$5:$5</definedName>
    <definedName name="_xlnm.Print_Titles" localSheetId="3">'4.3_食品ロスKPI'!$5:$5</definedName>
    <definedName name="_xlnm.Print_Titles" localSheetId="4">'4.4_表示管理'!$5:$5</definedName>
    <definedName name="_xlnm.Print_Titles" localSheetId="5">'4.5_AI自主点検'!$5:$5</definedName>
    <definedName name="_xlnm.Print_Titles" localSheetId="6">'4.6_総合ギャップ分析'!$5:$5</definedName>
    <definedName name="_xlnm.Print_Titles" localSheetId="0">目次!$5:$5</definedName>
  </definedNames>
  <calcPr calcId="191029"/>
</workbook>
</file>

<file path=xl/calcChain.xml><?xml version="1.0" encoding="utf-8"?>
<calcChain xmlns="http://schemas.openxmlformats.org/spreadsheetml/2006/main">
  <c r="A24" i="7" l="1"/>
  <c r="A22" i="7"/>
  <c r="A18" i="5"/>
  <c r="A15" i="3"/>
  <c r="A24" i="2"/>
</calcChain>
</file>

<file path=xl/sharedStrings.xml><?xml version="1.0" encoding="utf-8"?>
<sst xmlns="http://schemas.openxmlformats.org/spreadsheetml/2006/main" count="292" uniqueCount="230">
  <si>
    <t>No.</t>
  </si>
  <si>
    <t>シート名</t>
  </si>
  <si>
    <t>内容</t>
  </si>
  <si>
    <t>リンク</t>
  </si>
  <si>
    <t>4.1</t>
  </si>
  <si>
    <t>PRP棚卸し</t>
  </si>
  <si>
    <t>PRP文書の棚卸しとV7要求事項（ISO22002-100）との整合性確認</t>
  </si>
  <si>
    <t>開く</t>
  </si>
  <si>
    <t>4.2</t>
  </si>
  <si>
    <t>食品安全文化</t>
  </si>
  <si>
    <t>食品安全文化が行動として根付いていることを示す証拠の確認</t>
  </si>
  <si>
    <t>4.3</t>
  </si>
  <si>
    <t>食品ロスKPI</t>
  </si>
  <si>
    <t>工程別の食品ロス測定とKPI設定</t>
  </si>
  <si>
    <t>4.4</t>
  </si>
  <si>
    <t>表示管理</t>
  </si>
  <si>
    <t>表示管理（版下管理・工程外ラベルを含む）の要求事項への対応確認</t>
  </si>
  <si>
    <t>4.5</t>
  </si>
  <si>
    <t>AI自主点検</t>
  </si>
  <si>
    <t>食品安全業務におけるAI利用の自主点検（AI未使用の場合は「該当なし」）</t>
  </si>
  <si>
    <t>4.6</t>
  </si>
  <si>
    <t>総合ギャップ分析</t>
  </si>
  <si>
    <t>全テンプレートを統合した、移行準備の進捗一覧</t>
  </si>
  <si>
    <t>4.1　PRP棚卸しシート</t>
  </si>
  <si>
    <t>PRP（前提条件プログラム）は、食品安全の基礎となる衛生管理の仕組みです。</t>
  </si>
  <si>
    <t>V7では共通PRPとしてISO22002-100:2025が新たに導入され、業種別のISO22002-xシリーズと組み合わせて適用する構成になったため、従来のPRP文書を棚卸しし、要求事項との整合性を確認する必要があります。</t>
  </si>
  <si>
    <t>このシートを使用することで、PRPの抜け漏れを体系的に確認できます。</t>
  </si>
  <si>
    <t>※ 斜体（グレー）の行は記入例です。実際の内容に置き換えてご記入ください。プルダウンのある列はセルをクリックして選択できます。</t>
  </si>
  <si>
    <t>項目名</t>
  </si>
  <si>
    <t>現状の運用内容</t>
  </si>
  <si>
    <t>V7要求事項との整合性</t>
  </si>
  <si>
    <t>不足している点</t>
  </si>
  <si>
    <t>必要な改善内容</t>
  </si>
  <si>
    <t>改善の優先度
（高・中・低）</t>
  </si>
  <si>
    <t>担当者</t>
  </si>
  <si>
    <t>完了予定日</t>
  </si>
  <si>
    <t>証拠・記録</t>
  </si>
  <si>
    <t>【記入例】有害生物防除（害虫・害獣対策）</t>
  </si>
  <si>
    <t>外部業者による月1回の巡回点検とトラップ設置を実施している</t>
  </si>
  <si>
    <t>ISO22002-100の該当箇条とおおむね整合している</t>
  </si>
  <si>
    <t>点検記録の様式が旧版のまま更新されていない</t>
  </si>
  <si>
    <t>記録様式をV7対応版に改訂し、是正処置欄を追加する</t>
  </si>
  <si>
    <t>中</t>
  </si>
  <si>
    <t>品質保証課　佐藤</t>
  </si>
  <si>
    <t>衛生点検記録 No.2026-12</t>
  </si>
  <si>
    <t>【記入例】清掃・洗浄プログラム</t>
  </si>
  <si>
    <t>各製造ラインで清掃チェックシートを使用しているが、記録が紙ベースで検索性が低い</t>
  </si>
  <si>
    <t>清掃頻度の妥当性を裏付ける微生物検査データとの紐づけがない</t>
  </si>
  <si>
    <t>清掃記録をデジタル化し、定期微生物検査結果と連動させる</t>
  </si>
  <si>
    <t>製造課　鈴木</t>
  </si>
  <si>
    <t>SOP-QC-012</t>
  </si>
  <si>
    <t>【記入例】原材料の受入管理</t>
  </si>
  <si>
    <t>受入時に外観検査と証明書確認を実施している</t>
  </si>
  <si>
    <t>ISO22002-100の該当箇条と整合している</t>
  </si>
  <si>
    <t>仕入先を急遽変更した際の緊急受入基準が明文化されていない</t>
  </si>
  <si>
    <t>緊急受入時の判断基準と承認フローを文書化する</t>
  </si>
  <si>
    <t>購買課　高橋</t>
  </si>
  <si>
    <t>受入検査記録簿</t>
  </si>
  <si>
    <t>優先度別の件数（自動集計）</t>
  </si>
  <si>
    <t>4.2　食品安全文化チェックリスト</t>
  </si>
  <si>
    <t>食品安全文化は、V7で強化された重要な要求事項です。</t>
  </si>
  <si>
    <t>単なる教育記録ではなく、文化が行動として根付いていることを示す客観的な証拠が必要になります。</t>
  </si>
  <si>
    <t>チェック項目</t>
  </si>
  <si>
    <t>現状評価
（○/△/×）</t>
  </si>
  <si>
    <t>客観的証拠・記録</t>
  </si>
  <si>
    <t>改善要否</t>
  </si>
  <si>
    <t>改善内容</t>
  </si>
  <si>
    <t>【記入例】食品安全に関する定期的なコミュニケーションが行われている</t>
  </si>
  <si>
    <t>○</t>
  </si>
  <si>
    <t>月1回の朝礼で食品安全テーマを共有。議事録あり</t>
  </si>
  <si>
    <t>いいえ</t>
  </si>
  <si>
    <t>継続</t>
  </si>
  <si>
    <t>【記入例】従業員の改善提案が記録されている</t>
  </si>
  <si>
    <t>△</t>
  </si>
  <si>
    <t>改善提案箱はあるが、食品安全に限定した分類がない</t>
  </si>
  <si>
    <t>はい</t>
  </si>
  <si>
    <t>提案分類に「食品安全」を追加する</t>
  </si>
  <si>
    <t>【記入例】教育内容の理解度確認が実施されている</t>
  </si>
  <si>
    <t>×</t>
  </si>
  <si>
    <t>教育記録はあるが、理解度確認は一部のみ</t>
  </si>
  <si>
    <t>研修後に簡易確認テストを実施し、結果を記録として残す</t>
  </si>
  <si>
    <t>現場での行動変化が記録されている</t>
  </si>
  <si>
    <t>経営層が食品安全に関与していることが分かる</t>
  </si>
  <si>
    <t>食品安全に関する目標が共有されている</t>
  </si>
  <si>
    <t>食品安全上の問題が適切なルートで共有されている</t>
  </si>
  <si>
    <t>評価別の件数（自動集計）</t>
  </si>
  <si>
    <t>4.3　食品ロスKPI設定テンプレート</t>
  </si>
  <si>
    <t>食品ロス管理（FLW）は、V6から求められている要求事項ですが、V7では目標を測定可能なKPIと期限で裏付けることが明確化されました。</t>
  </si>
  <si>
    <t>工程ごとにロスの発生状況を計測し、達成期限つきの目標（KPI）を設定するためのシートです。単位は自社の実態に合わせて統一してください。</t>
  </si>
  <si>
    <t>工程名</t>
  </si>
  <si>
    <t>ロス区分</t>
  </si>
  <si>
    <t>ロス量
（月間）</t>
  </si>
  <si>
    <t>生産量
（月間）</t>
  </si>
  <si>
    <t>ロス率</t>
  </si>
  <si>
    <t>目標値</t>
  </si>
  <si>
    <t>達成期限</t>
  </si>
  <si>
    <t>主な原因</t>
  </si>
  <si>
    <t>改善アクション</t>
  </si>
  <si>
    <t>【記入例】包装工程</t>
  </si>
  <si>
    <t>規格外・破損品</t>
  </si>
  <si>
    <t>120 kg</t>
  </si>
  <si>
    <t>10,000 kg</t>
  </si>
  <si>
    <t>1.2%</t>
  </si>
  <si>
    <t>1.0%以下</t>
  </si>
  <si>
    <t>シールずれによる再包装</t>
  </si>
  <si>
    <t>包装機の設定確認と始業点検を強化する</t>
  </si>
  <si>
    <t>製造課　田中</t>
  </si>
  <si>
    <t>【記入例】加熱調理工程</t>
  </si>
  <si>
    <t>廃棄ロス</t>
  </si>
  <si>
    <t>85 kg</t>
  </si>
  <si>
    <t>7,000 kg</t>
  </si>
  <si>
    <t>加熱温度・時間の設定誤りによる規格外品の発生</t>
  </si>
  <si>
    <t>加熱条件を標準化し、ダブルチェック体制を導入する</t>
  </si>
  <si>
    <t>【記入例】乾燥スープ充填工程</t>
  </si>
  <si>
    <t>返品ロス</t>
  </si>
  <si>
    <t>6 件/月</t>
  </si>
  <si>
    <t>―</t>
  </si>
  <si>
    <t>0.5%</t>
  </si>
  <si>
    <t>0.3%以下</t>
  </si>
  <si>
    <t>充填量のばらつきによる規格外品の返品</t>
  </si>
  <si>
    <t>充填機の定期校正頻度を見直す</t>
  </si>
  <si>
    <t>製造課　伊藤</t>
  </si>
  <si>
    <t>4.4　表示管理チェックリスト</t>
  </si>
  <si>
    <t>V7では表示管理について、版下（アートワーク）管理の手順や、表示内容を販売先の国の規制に適合させることが明確化されました。</t>
  </si>
  <si>
    <t>評価
（○/△/×/－）</t>
  </si>
  <si>
    <t>現状</t>
  </si>
  <si>
    <t>期限</t>
  </si>
  <si>
    <t>【記入例】製品ラベルの内容確認・承認手順がある</t>
  </si>
  <si>
    <t>品質保証課が版下を確認し、承認記録を保存している</t>
  </si>
  <si>
    <t>ラベル承認記録</t>
  </si>
  <si>
    <t>現行の確認手順を維持する</t>
  </si>
  <si>
    <t>品質保証課</t>
  </si>
  <si>
    <t>【記入例】外装箱・段ボール等の表示物を管理している</t>
  </si>
  <si>
    <t>製品ラベルは管理しているが、外装箱の版管理が紙中心</t>
  </si>
  <si>
    <t>外装箱版下ファイル</t>
  </si>
  <si>
    <t>版管理台帳を電子化し、全件デジタル保管に統一する</t>
  </si>
  <si>
    <t>製造課</t>
  </si>
  <si>
    <t>【記入例】仕分けラベル等の工程外表示物を管理している</t>
  </si>
  <si>
    <t>当工場では仕分けラベルを使用していない</t>
  </si>
  <si>
    <t>対象外一覧</t>
  </si>
  <si>
    <t>「－」とした理由を台帳に記録する</t>
  </si>
  <si>
    <t>物流課</t>
  </si>
  <si>
    <t>【記入例】顧客支給ラベルの確認責任・方法が明確である</t>
  </si>
  <si>
    <t>顧客支給ラベルの受入時検品記録がない</t>
  </si>
  <si>
    <t>（該当記録なし）</t>
  </si>
  <si>
    <t>受入時のラベル内容確認と記録様式を新設する</t>
  </si>
  <si>
    <t>ラベル・版下の保管場所と版管理が明確である</t>
  </si>
  <si>
    <t>変更時の承認・変更履歴が管理されている</t>
  </si>
  <si>
    <t>誤表示防止のための照合・二重チェック等がある</t>
  </si>
  <si>
    <t>使用済みでない表示資材の取り違え防止・廃棄管理がある</t>
  </si>
  <si>
    <t>販売先の国の表示規制への適合確認方法がある</t>
  </si>
  <si>
    <t>アレルゲン・栄養・認証マーク等の表示根拠資料を管理している</t>
  </si>
  <si>
    <t>4.5　食品安全業務におけるAI利用　自主点検シート</t>
  </si>
  <si>
    <t>V7のPart 3第9章には、認証プロセスにおけるAI利用に関するガバナンス要求が定められています。これは主に認証機関側の対応を対象としたものです。</t>
  </si>
  <si>
    <t>このシートは、認証組織が必ず作成しなければならない書式ではなく、自社が食品安全に関わる業務でAIを利用している場合の自主点検用です。AIを使用していない場合は、シート全体を「該当なし」として問題ありません。</t>
  </si>
  <si>
    <t>AIを使う業務</t>
  </si>
  <si>
    <t>利用目的</t>
  </si>
  <si>
    <t>入力情報</t>
  </si>
  <si>
    <t>AIの出力</t>
  </si>
  <si>
    <t>誤情報が食品安全に与える影響</t>
  </si>
  <si>
    <t>人による確認方法</t>
  </si>
  <si>
    <t>最終判断者</t>
  </si>
  <si>
    <t>記録の残し方</t>
  </si>
  <si>
    <t>評価日</t>
  </si>
  <si>
    <t>【記入例】規格・法令調査の補助</t>
  </si>
  <si>
    <t>情報整理の補助</t>
  </si>
  <si>
    <t>公開情報・社内メモ</t>
  </si>
  <si>
    <t>要約・論点整理</t>
  </si>
  <si>
    <t>誤った情報を採用すると法令・規格対応を誤る可能性がある</t>
  </si>
  <si>
    <t>原文・公式情報と照合し、人が最終確認する</t>
  </si>
  <si>
    <t>品質保証責任者</t>
  </si>
  <si>
    <t>照合した資料名を保存する</t>
  </si>
  <si>
    <t>【記入例】HACCP記録の異常候補抽出</t>
  </si>
  <si>
    <t>異常候補の抽出</t>
  </si>
  <si>
    <t>製造記録・測定値</t>
  </si>
  <si>
    <t>異常候補の一覧</t>
  </si>
  <si>
    <t>見逃し・誤判定により食品安全上の問題を見落とす可能性がある</t>
  </si>
  <si>
    <t>担当者が原記録を確認し、判定を確定する</t>
  </si>
  <si>
    <t>判定記録と原記録を保存する</t>
  </si>
  <si>
    <t>4.6　V7移行ギャップ分析シート（総合版）</t>
  </si>
  <si>
    <t>4.1〜4.5の内容を統合し、V7移行に必要な全体のギャップを一覧化するための総合版シートです。</t>
  </si>
  <si>
    <t>このシートを使用することで、移行準備の進捗を一目で把握できます。ギャップ分析シートを作成すること自体がFSSCの独立した要求事項というわけではありませんが、V7要求事項とのギャップを把握し、計画的に対応を進めるための記録として推奨します。</t>
  </si>
  <si>
    <t>分野</t>
  </si>
  <si>
    <t>要求・確認ポイント</t>
  </si>
  <si>
    <t>判定
（○/△/×/－）</t>
  </si>
  <si>
    <t>不足・ギャップ</t>
  </si>
  <si>
    <t>対応策</t>
  </si>
  <si>
    <t>優先度
（高・中・低）</t>
  </si>
  <si>
    <t>進捗
（未着手/進行中/完了）</t>
  </si>
  <si>
    <t>PRP</t>
  </si>
  <si>
    <t>ISO22002-100との整合性</t>
  </si>
  <si>
    <t>主要SOPを一覧化済み</t>
  </si>
  <si>
    <t>一部の現場掲示物が一覧に未登録</t>
  </si>
  <si>
    <t>文書・掲示物を追加で棚卸しする</t>
  </si>
  <si>
    <t>進行中</t>
  </si>
  <si>
    <t>コミュニケーション・改善提案の証拠</t>
  </si>
  <si>
    <t>朝礼記録あり、提案記録が不十分</t>
  </si>
  <si>
    <t>改善提案・教育理解度の記録が不足している</t>
  </si>
  <si>
    <t>改善提案シートと理解度確認テストを導入する</t>
  </si>
  <si>
    <t>食品ロス（FLW）</t>
  </si>
  <si>
    <t>工程別KPIと期限の設定</t>
  </si>
  <si>
    <t>全社目標はあるが工程別KPI未設定</t>
  </si>
  <si>
    <t>工程別のロス率KPIが未設定</t>
  </si>
  <si>
    <t>工程別ロス率を設定し、月次でレビューする</t>
  </si>
  <si>
    <t>未着手</t>
  </si>
  <si>
    <t>工程外表示物の管理</t>
  </si>
  <si>
    <t>製品ラベルは管理済み</t>
  </si>
  <si>
    <t>顧客支給ラベルの受入検品記録がない</t>
  </si>
  <si>
    <t>受入検品記録様式を新設し、運用を開始する</t>
  </si>
  <si>
    <t>サプライヤー管理</t>
  </si>
  <si>
    <t>リスクに応じた評価基準</t>
  </si>
  <si>
    <t>年1回評価を実施</t>
  </si>
  <si>
    <t>原材料ごとのリスク区分が未整理</t>
  </si>
  <si>
    <t>リスク区分を見直し、評価頻度に反映する</t>
  </si>
  <si>
    <t>購買・品質</t>
  </si>
  <si>
    <t>AI</t>
  </si>
  <si>
    <t>食品安全業務でのAI利用の自主点検</t>
  </si>
  <si>
    <t>規格調査の補助にAIを使用</t>
  </si>
  <si>
    <t>人による最終確認ルールが未文書化</t>
  </si>
  <si>
    <t>AI利用時の確認ルールを文書化する</t>
  </si>
  <si>
    <t>優先度の集計（自動集計）</t>
  </si>
  <si>
    <t>進捗の集計（自動集計）</t>
  </si>
  <si>
    <t>プルダウンが設定されている列は、セルをクリックして選択できます。</t>
    <phoneticPr fontId="7"/>
  </si>
  <si>
    <r>
      <rPr>
        <sz val="10"/>
        <rFont val="ＭＳ ゴシック"/>
        <family val="3"/>
        <charset val="128"/>
      </rPr>
      <t>中小食品工場では、外装箱や仕分けラベルなど工程外の表示物まで管理が曖昧なケースが多く、実務上の重要な確認ポイントです。
該当しない項目は「</t>
    </r>
    <r>
      <rPr>
        <sz val="10"/>
        <rFont val="游ゴシック"/>
        <family val="2"/>
        <charset val="128"/>
      </rPr>
      <t>×</t>
    </r>
    <r>
      <rPr>
        <sz val="10"/>
        <rFont val="ＭＳ ゴシック"/>
        <family val="3"/>
        <charset val="128"/>
      </rPr>
      <t>」ではなく「－」とし、理由を現状欄に記録すると使いやすくなります。</t>
    </r>
    <phoneticPr fontId="7"/>
  </si>
  <si>
    <r>
      <rPr>
        <i/>
        <sz val="14"/>
        <color rgb="FF808080"/>
        <rFont val="Noto Sans CJK JP"/>
      </rPr>
      <t>△</t>
    </r>
  </si>
  <si>
    <r>
      <rPr>
        <i/>
        <sz val="14"/>
        <color rgb="FF808080"/>
        <rFont val="Noto Sans CJK JP"/>
      </rPr>
      <t>－</t>
    </r>
  </si>
  <si>
    <r>
      <rPr>
        <i/>
        <sz val="14"/>
        <color rgb="FF808080"/>
        <rFont val="Noto Sans CJK JP"/>
      </rPr>
      <t>高</t>
    </r>
  </si>
  <si>
    <r>
      <rPr>
        <i/>
        <sz val="14"/>
        <color rgb="FF808080"/>
        <rFont val="Noto Sans CJK JP"/>
      </rPr>
      <t>中</t>
    </r>
  </si>
  <si>
    <r>
      <t>FSSC22000 V7</t>
    </r>
    <r>
      <rPr>
        <b/>
        <sz val="18"/>
        <rFont val="ＭＳ ゴシック"/>
        <family val="3"/>
        <charset val="128"/>
      </rPr>
      <t>移行　実務テンプレート集</t>
    </r>
    <r>
      <rPr>
        <b/>
        <sz val="18"/>
        <rFont val="Noto Sans CJK JP"/>
      </rPr>
      <t xml:space="preserve"> </t>
    </r>
    <r>
      <rPr>
        <b/>
        <sz val="18"/>
        <rFont val="Yu Gothic"/>
        <charset val="128"/>
      </rPr>
      <t>目次</t>
    </r>
    <rPh sb="25" eb="27">
      <t>モクジ</t>
    </rPh>
    <phoneticPr fontId="7"/>
  </si>
  <si>
    <r>
      <rPr>
        <sz val="11"/>
        <rFont val="ＭＳ ゴシック"/>
        <family val="3"/>
        <charset val="128"/>
      </rPr>
      <t>第</t>
    </r>
    <r>
      <rPr>
        <sz val="11"/>
        <rFont val="Arial"/>
        <family val="2"/>
      </rPr>
      <t>4</t>
    </r>
    <r>
      <rPr>
        <sz val="11"/>
        <rFont val="ＭＳ ゴシック"/>
        <family val="3"/>
        <charset val="128"/>
      </rPr>
      <t>章「ギャップ分析テンプレート」に対応するワークシート集です。各シートの入力欄にご記入ください。</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</si>
</sst>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2"/>
      <scheme val="minor"/>
    </font>
    <font>
      <b/>
      <sz val="14"/>
      <name val="Noto Sans CJK JP"/>
    </font>
    <font>
      <sz val="10"/>
      <name val="Noto Sans CJK JP"/>
    </font>
    <font>
      <i/>
      <sz val="9"/>
      <color rgb="FF808080"/>
      <name val="Noto Sans CJK JP"/>
    </font>
    <font>
      <b/>
      <sz val="10"/>
      <name val="Noto Sans CJK JP"/>
    </font>
    <font>
      <sz val="9"/>
      <name val="Noto Sans CJK JP"/>
    </font>
    <font>
      <b/>
      <sz val="11"/>
      <name val="Noto Sans CJK JP"/>
    </font>
    <font>
      <sz val="6"/>
      <name val="ＭＳ Ｐゴシック"/>
      <family val="3"/>
      <charset val="128"/>
      <scheme val="minor"/>
    </font>
    <font>
      <sz val="10"/>
      <name val="ＭＳ ゴシック"/>
      <family val="3"/>
      <charset val="128"/>
    </font>
    <font>
      <sz val="10"/>
      <name val="Noto Sans CJK JP"/>
      <family val="3"/>
      <charset val="128"/>
    </font>
    <font>
      <sz val="10"/>
      <name val="游ゴシック"/>
      <family val="2"/>
      <charset val="128"/>
    </font>
    <font>
      <i/>
      <sz val="14"/>
      <color rgb="FF808080"/>
      <name val="Noto Sans CJK JP"/>
    </font>
    <font>
      <i/>
      <sz val="14"/>
      <color rgb="FF808080"/>
      <name val="Noto Sans CJK JP"/>
      <family val="2"/>
    </font>
    <font>
      <sz val="14"/>
      <name val="Noto Sans CJK JP"/>
      <family val="2"/>
    </font>
    <font>
      <b/>
      <sz val="18"/>
      <name val="Noto Sans CJK JP"/>
    </font>
    <font>
      <b/>
      <sz val="18"/>
      <name val="ＭＳ ゴシック"/>
      <family val="3"/>
      <charset val="128"/>
    </font>
    <font>
      <b/>
      <sz val="18"/>
      <name val="Yu Gothic"/>
      <charset val="128"/>
    </font>
    <font>
      <sz val="11"/>
      <name val="Noto Sans CJK JP"/>
      <family val="3"/>
      <charset val="128"/>
    </font>
    <font>
      <sz val="11"/>
      <name val="ＭＳ ゴシック"/>
      <family val="3"/>
      <charset val="128"/>
    </font>
    <font>
      <sz val="11"/>
      <name val="Arial"/>
      <family val="2"/>
    </font>
    <font>
      <sz val="11"/>
      <name val="Noto Sans CJK JP"/>
    </font>
    <font>
      <u/>
      <sz val="11"/>
      <color rgb="FF0563C1"/>
      <name val="Noto Sans CJK JP"/>
    </font>
  </fonts>
  <fills count="3">
    <fill>
      <patternFill patternType="none"/>
    </fill>
    <fill>
      <patternFill patternType="gray125"/>
    </fill>
    <fill>
      <patternFill patternType="solid">
        <f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3" fillId="0" borderId="0" xfId="0" applyFont="1"/>
    <xf numFmtId="0" fontId="3" fillId="0" borderId="1" xfId="0" applyFont="1" applyBorder="1" applyAlignment="1">
      <alignment horizontal="left" vertical="top" wrapText="1"/>
    </xf>
    <xf numFmtId="14" fontId="3" fillId="0" borderId="1" xfId="0" applyNumberFormat="1" applyFont="1" applyBorder="1" applyAlignment="1">
      <alignment horizontal="left" vertical="top" wrapText="1"/>
    </xf>
    <xf numFmtId="14" fontId="5" fillId="0" borderId="1" xfId="0" applyNumberFormat="1" applyFont="1" applyBorder="1" applyAlignment="1">
      <alignment horizontal="left" vertical="top" wrapText="1"/>
    </xf>
    <xf numFmtId="0" fontId="6" fillId="0" borderId="0" xfId="0" applyFont="1"/>
    <xf numFmtId="0" fontId="2" fillId="0" borderId="0" xfId="0" applyFont="1" applyAlignment="1">
      <alignment horizontal="left" wrapText="1"/>
    </xf>
    <xf numFmtId="0" fontId="9" fillId="0" borderId="0" xfId="0" applyFont="1" applyAlignment="1">
      <alignment horizontal="left" wrapText="1"/>
    </xf>
    <xf numFmtId="0" fontId="11" fillId="0" borderId="1" xfId="0" applyFont="1" applyBorder="1" applyAlignment="1">
      <alignment horizontal="center" vertical="top" wrapText="1"/>
    </xf>
    <xf numFmtId="0" fontId="12" fillId="0" borderId="1" xfId="0" applyFont="1" applyBorder="1" applyAlignment="1">
      <alignment horizontal="center" vertical="top" wrapText="1"/>
    </xf>
    <xf numFmtId="0" fontId="13" fillId="0" borderId="1" xfId="0" applyFont="1" applyBorder="1" applyAlignment="1">
      <alignment horizontal="center" vertical="top" wrapText="1"/>
    </xf>
    <xf numFmtId="0" fontId="14" fillId="0" borderId="0" xfId="0" applyFont="1" applyAlignment="1">
      <alignment horizontal="center"/>
    </xf>
    <xf numFmtId="0" fontId="17" fillId="0" borderId="0" xfId="0" applyFont="1"/>
    <xf numFmtId="0" fontId="0" fillId="0" borderId="0" xfId="0" applyFont="1"/>
    <xf numFmtId="0" fontId="0" fillId="0" borderId="0" xfId="0" applyFont="1" applyAlignment="1">
      <alignment vertical="center"/>
    </xf>
    <xf numFmtId="0" fontId="6" fillId="2" borderId="1" xfId="0" applyFont="1" applyFill="1" applyBorder="1" applyAlignment="1">
      <alignment horizontal="center" vertical="center" wrapText="1"/>
    </xf>
    <xf numFmtId="0" fontId="20" fillId="0" borderId="1" xfId="0" applyFont="1" applyBorder="1" applyAlignment="1">
      <alignment horizontal="center" vertical="top" wrapText="1"/>
    </xf>
    <xf numFmtId="0" fontId="20" fillId="0" borderId="1" xfId="0" applyFont="1" applyBorder="1" applyAlignment="1">
      <alignment horizontal="left" vertical="top" wrapText="1"/>
    </xf>
    <xf numFmtId="0" fontId="21" fillId="0" borderId="1" xfId="0"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0"/>
  <sheetViews>
    <sheetView showGridLines="0" tabSelected="1" workbookViewId="0">
      <selection sqref="A1:D1"/>
    </sheetView>
  </sheetViews>
  <sheetFormatPr defaultRowHeight="13.5"/>
  <cols>
    <col min="1" max="1" width="6" customWidth="1"/>
    <col min="2" max="2" width="21.875" customWidth="1"/>
    <col min="3" max="3" width="71.875" customWidth="1"/>
    <col min="4" max="4" width="8" customWidth="1"/>
  </cols>
  <sheetData>
    <row r="1" spans="1:4" ht="37.5" customHeight="1">
      <c r="A1" s="15" t="s">
        <v>228</v>
      </c>
      <c r="B1" s="15"/>
      <c r="C1" s="15"/>
      <c r="D1" s="15"/>
    </row>
    <row r="2" spans="1:4" ht="27.95" customHeight="1">
      <c r="A2" s="16" t="s">
        <v>229</v>
      </c>
      <c r="B2" s="17"/>
      <c r="C2" s="17"/>
      <c r="D2" s="17"/>
    </row>
    <row r="3" spans="1:4" ht="27.95" customHeight="1">
      <c r="A3" s="18" t="s">
        <v>222</v>
      </c>
      <c r="B3" s="17"/>
      <c r="C3" s="17"/>
      <c r="D3" s="17"/>
    </row>
    <row r="4" spans="1:4" ht="27.95" customHeight="1">
      <c r="A4" s="19" t="s">
        <v>0</v>
      </c>
      <c r="B4" s="19" t="s">
        <v>1</v>
      </c>
      <c r="C4" s="19" t="s">
        <v>2</v>
      </c>
      <c r="D4" s="19" t="s">
        <v>3</v>
      </c>
    </row>
    <row r="5" spans="1:4" ht="27.95" customHeight="1">
      <c r="A5" s="20" t="s">
        <v>4</v>
      </c>
      <c r="B5" s="21" t="s">
        <v>5</v>
      </c>
      <c r="C5" s="21" t="s">
        <v>6</v>
      </c>
      <c r="D5" s="22" t="s">
        <v>7</v>
      </c>
    </row>
    <row r="6" spans="1:4" ht="27.95" customHeight="1">
      <c r="A6" s="20" t="s">
        <v>8</v>
      </c>
      <c r="B6" s="21" t="s">
        <v>9</v>
      </c>
      <c r="C6" s="21" t="s">
        <v>10</v>
      </c>
      <c r="D6" s="22" t="s">
        <v>7</v>
      </c>
    </row>
    <row r="7" spans="1:4" ht="27.95" customHeight="1">
      <c r="A7" s="20" t="s">
        <v>11</v>
      </c>
      <c r="B7" s="21" t="s">
        <v>12</v>
      </c>
      <c r="C7" s="21" t="s">
        <v>13</v>
      </c>
      <c r="D7" s="22" t="s">
        <v>7</v>
      </c>
    </row>
    <row r="8" spans="1:4" ht="27.95" customHeight="1">
      <c r="A8" s="20" t="s">
        <v>14</v>
      </c>
      <c r="B8" s="21" t="s">
        <v>15</v>
      </c>
      <c r="C8" s="21" t="s">
        <v>16</v>
      </c>
      <c r="D8" s="22" t="s">
        <v>7</v>
      </c>
    </row>
    <row r="9" spans="1:4" ht="27.95" customHeight="1">
      <c r="A9" s="20" t="s">
        <v>17</v>
      </c>
      <c r="B9" s="21" t="s">
        <v>18</v>
      </c>
      <c r="C9" s="21" t="s">
        <v>19</v>
      </c>
      <c r="D9" s="22" t="s">
        <v>7</v>
      </c>
    </row>
    <row r="10" spans="1:4" ht="27.95" customHeight="1">
      <c r="A10" s="20" t="s">
        <v>20</v>
      </c>
      <c r="B10" s="21" t="s">
        <v>21</v>
      </c>
      <c r="C10" s="21" t="s">
        <v>22</v>
      </c>
      <c r="D10" s="22" t="s">
        <v>7</v>
      </c>
    </row>
  </sheetData>
  <mergeCells count="1">
    <mergeCell ref="A1:D1"/>
  </mergeCells>
  <phoneticPr fontId="7"/>
  <hyperlinks>
    <hyperlink ref="D5" location="'4.1_PRP棚卸し'!A1" display="開く" xr:uid="{00000000-0004-0000-0000-000000000000}"/>
    <hyperlink ref="D6" location="'4.2_食品安全文化'!A1" display="開く" xr:uid="{00000000-0004-0000-0000-000001000000}"/>
    <hyperlink ref="D7" location="'4.3_食品ロスKPI'!A1" display="開く" xr:uid="{00000000-0004-0000-0000-000002000000}"/>
    <hyperlink ref="D8" location="'4.4_表示管理'!A1" display="開く" xr:uid="{00000000-0004-0000-0000-000003000000}"/>
    <hyperlink ref="D9" location="'4.5_AI自主点検'!A1" display="開く" xr:uid="{00000000-0004-0000-0000-000004000000}"/>
    <hyperlink ref="D10" location="'4.6_総合ギャップ分析'!A1" display="開く" xr:uid="{00000000-0004-0000-0000-000005000000}"/>
  </hyperlinks>
  <pageMargins left="0.4" right="0.4" top="0.4" bottom="0.4" header="0.5" footer="0.5"/>
  <pageSetup paperSize="9" orientation="landscape" r:id="rId1"/>
  <ignoredErrors>
    <ignoredError sqref="A5:A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4"/>
  <sheetViews>
    <sheetView showGridLines="0" workbookViewId="0">
      <selection activeCell="G7" sqref="G7:G21"/>
    </sheetView>
  </sheetViews>
  <sheetFormatPr defaultRowHeight="13.5"/>
  <cols>
    <col min="1" max="1" width="5" customWidth="1"/>
    <col min="2" max="2" width="20" customWidth="1"/>
    <col min="3" max="3" width="26" customWidth="1"/>
    <col min="4" max="4" width="20" customWidth="1"/>
    <col min="5" max="5" width="24" customWidth="1"/>
    <col min="6" max="6" width="26" customWidth="1"/>
    <col min="7" max="9" width="12" customWidth="1"/>
    <col min="10" max="10" width="20" customWidth="1"/>
  </cols>
  <sheetData>
    <row r="1" spans="1:10" ht="18">
      <c r="A1" s="1" t="s">
        <v>23</v>
      </c>
    </row>
    <row r="2" spans="1:10" ht="14.25">
      <c r="A2" s="2" t="s">
        <v>24</v>
      </c>
    </row>
    <row r="3" spans="1:10" ht="14.25">
      <c r="A3" s="2" t="s">
        <v>25</v>
      </c>
    </row>
    <row r="4" spans="1:10" ht="14.25">
      <c r="A4" s="2" t="s">
        <v>26</v>
      </c>
    </row>
    <row r="5" spans="1:10" ht="14.25">
      <c r="A5" s="5" t="s">
        <v>27</v>
      </c>
    </row>
    <row r="6" spans="1:10" ht="38.25">
      <c r="A6" s="3" t="s">
        <v>0</v>
      </c>
      <c r="B6" s="3" t="s">
        <v>28</v>
      </c>
      <c r="C6" s="3" t="s">
        <v>29</v>
      </c>
      <c r="D6" s="3" t="s">
        <v>30</v>
      </c>
      <c r="E6" s="3" t="s">
        <v>31</v>
      </c>
      <c r="F6" s="3" t="s">
        <v>32</v>
      </c>
      <c r="G6" s="3" t="s">
        <v>33</v>
      </c>
      <c r="H6" s="3" t="s">
        <v>34</v>
      </c>
      <c r="I6" s="3" t="s">
        <v>35</v>
      </c>
      <c r="J6" s="3" t="s">
        <v>36</v>
      </c>
    </row>
    <row r="7" spans="1:10" ht="42" customHeight="1">
      <c r="A7" s="6">
        <v>1</v>
      </c>
      <c r="B7" s="6" t="s">
        <v>37</v>
      </c>
      <c r="C7" s="6" t="s">
        <v>38</v>
      </c>
      <c r="D7" s="6" t="s">
        <v>39</v>
      </c>
      <c r="E7" s="6" t="s">
        <v>40</v>
      </c>
      <c r="F7" s="6" t="s">
        <v>41</v>
      </c>
      <c r="G7" s="12" t="s">
        <v>42</v>
      </c>
      <c r="H7" s="6" t="s">
        <v>43</v>
      </c>
      <c r="I7" s="7">
        <v>46326</v>
      </c>
      <c r="J7" s="6" t="s">
        <v>44</v>
      </c>
    </row>
    <row r="8" spans="1:10" ht="42" customHeight="1">
      <c r="A8" s="6">
        <v>2</v>
      </c>
      <c r="B8" s="6" t="s">
        <v>45</v>
      </c>
      <c r="C8" s="6" t="s">
        <v>46</v>
      </c>
      <c r="D8" s="6" t="s">
        <v>39</v>
      </c>
      <c r="E8" s="6" t="s">
        <v>47</v>
      </c>
      <c r="F8" s="6" t="s">
        <v>48</v>
      </c>
      <c r="G8" s="13" t="s">
        <v>226</v>
      </c>
      <c r="H8" s="6" t="s">
        <v>49</v>
      </c>
      <c r="I8" s="7">
        <v>46356</v>
      </c>
      <c r="J8" s="6" t="s">
        <v>50</v>
      </c>
    </row>
    <row r="9" spans="1:10" ht="42" customHeight="1">
      <c r="A9" s="6">
        <v>3</v>
      </c>
      <c r="B9" s="6" t="s">
        <v>51</v>
      </c>
      <c r="C9" s="6" t="s">
        <v>52</v>
      </c>
      <c r="D9" s="6" t="s">
        <v>53</v>
      </c>
      <c r="E9" s="6" t="s">
        <v>54</v>
      </c>
      <c r="F9" s="6" t="s">
        <v>55</v>
      </c>
      <c r="G9" s="13" t="s">
        <v>227</v>
      </c>
      <c r="H9" s="6" t="s">
        <v>56</v>
      </c>
      <c r="I9" s="7">
        <v>46346</v>
      </c>
      <c r="J9" s="6" t="s">
        <v>57</v>
      </c>
    </row>
    <row r="10" spans="1:10" ht="30" customHeight="1">
      <c r="A10" s="4">
        <v>4</v>
      </c>
      <c r="B10" s="4"/>
      <c r="C10" s="4"/>
      <c r="D10" s="4"/>
      <c r="E10" s="4"/>
      <c r="F10" s="4"/>
      <c r="G10" s="14"/>
      <c r="H10" s="4"/>
      <c r="I10" s="8"/>
      <c r="J10" s="4"/>
    </row>
    <row r="11" spans="1:10" ht="30" customHeight="1">
      <c r="A11" s="4">
        <v>5</v>
      </c>
      <c r="B11" s="4"/>
      <c r="C11" s="4"/>
      <c r="D11" s="4"/>
      <c r="E11" s="4"/>
      <c r="F11" s="4"/>
      <c r="G11" s="14"/>
      <c r="H11" s="4"/>
      <c r="I11" s="8"/>
      <c r="J11" s="4"/>
    </row>
    <row r="12" spans="1:10" ht="30" customHeight="1">
      <c r="A12" s="4">
        <v>6</v>
      </c>
      <c r="B12" s="4"/>
      <c r="C12" s="4"/>
      <c r="D12" s="4"/>
      <c r="E12" s="4"/>
      <c r="F12" s="4"/>
      <c r="G12" s="14"/>
      <c r="H12" s="4"/>
      <c r="I12" s="8"/>
      <c r="J12" s="4"/>
    </row>
    <row r="13" spans="1:10" ht="30" customHeight="1">
      <c r="A13" s="4">
        <v>7</v>
      </c>
      <c r="B13" s="4"/>
      <c r="C13" s="4"/>
      <c r="D13" s="4"/>
      <c r="E13" s="4"/>
      <c r="F13" s="4"/>
      <c r="G13" s="14"/>
      <c r="H13" s="4"/>
      <c r="I13" s="8"/>
      <c r="J13" s="4"/>
    </row>
    <row r="14" spans="1:10" ht="30" customHeight="1">
      <c r="A14" s="4">
        <v>8</v>
      </c>
      <c r="B14" s="4"/>
      <c r="C14" s="4"/>
      <c r="D14" s="4"/>
      <c r="E14" s="4"/>
      <c r="F14" s="4"/>
      <c r="G14" s="14"/>
      <c r="H14" s="4"/>
      <c r="I14" s="8"/>
      <c r="J14" s="4"/>
    </row>
    <row r="15" spans="1:10" ht="30" customHeight="1">
      <c r="A15" s="4">
        <v>9</v>
      </c>
      <c r="B15" s="4"/>
      <c r="C15" s="4"/>
      <c r="D15" s="4"/>
      <c r="E15" s="4"/>
      <c r="F15" s="4"/>
      <c r="G15" s="14"/>
      <c r="H15" s="4"/>
      <c r="I15" s="8"/>
      <c r="J15" s="4"/>
    </row>
    <row r="16" spans="1:10" ht="30" customHeight="1">
      <c r="A16" s="4">
        <v>10</v>
      </c>
      <c r="B16" s="4"/>
      <c r="C16" s="4"/>
      <c r="D16" s="4"/>
      <c r="E16" s="4"/>
      <c r="F16" s="4"/>
      <c r="G16" s="14"/>
      <c r="H16" s="4"/>
      <c r="I16" s="8"/>
      <c r="J16" s="4"/>
    </row>
    <row r="17" spans="1:10" ht="30" customHeight="1">
      <c r="A17" s="4">
        <v>11</v>
      </c>
      <c r="B17" s="4"/>
      <c r="C17" s="4"/>
      <c r="D17" s="4"/>
      <c r="E17" s="4"/>
      <c r="F17" s="4"/>
      <c r="G17" s="14"/>
      <c r="H17" s="4"/>
      <c r="I17" s="8"/>
      <c r="J17" s="4"/>
    </row>
    <row r="18" spans="1:10" ht="30" customHeight="1">
      <c r="A18" s="4">
        <v>12</v>
      </c>
      <c r="B18" s="4"/>
      <c r="C18" s="4"/>
      <c r="D18" s="4"/>
      <c r="E18" s="4"/>
      <c r="F18" s="4"/>
      <c r="G18" s="14"/>
      <c r="H18" s="4"/>
      <c r="I18" s="8"/>
      <c r="J18" s="4"/>
    </row>
    <row r="19" spans="1:10" ht="30" customHeight="1">
      <c r="A19" s="4">
        <v>13</v>
      </c>
      <c r="B19" s="4"/>
      <c r="C19" s="4"/>
      <c r="D19" s="4"/>
      <c r="E19" s="4"/>
      <c r="F19" s="4"/>
      <c r="G19" s="14"/>
      <c r="H19" s="4"/>
      <c r="I19" s="8"/>
      <c r="J19" s="4"/>
    </row>
    <row r="20" spans="1:10" ht="30" customHeight="1">
      <c r="A20" s="4">
        <v>14</v>
      </c>
      <c r="B20" s="4"/>
      <c r="C20" s="4"/>
      <c r="D20" s="4"/>
      <c r="E20" s="4"/>
      <c r="F20" s="4"/>
      <c r="G20" s="14"/>
      <c r="H20" s="4"/>
      <c r="I20" s="8"/>
      <c r="J20" s="4"/>
    </row>
    <row r="21" spans="1:10" ht="30" customHeight="1">
      <c r="A21" s="4">
        <v>15</v>
      </c>
      <c r="B21" s="4"/>
      <c r="C21" s="4"/>
      <c r="D21" s="4"/>
      <c r="E21" s="4"/>
      <c r="F21" s="4"/>
      <c r="G21" s="14"/>
      <c r="H21" s="4"/>
      <c r="I21" s="8"/>
      <c r="J21" s="4"/>
    </row>
    <row r="23" spans="1:10" ht="14.25">
      <c r="A23" s="5" t="s">
        <v>58</v>
      </c>
    </row>
    <row r="24" spans="1:10" ht="15">
      <c r="A24" s="9" t="str">
        <f>"高： "&amp;COUNTIF(G7:G21,"高")&amp;"　　中： "&amp;COUNTIF(G7:G21,"中")&amp;"　　低： "&amp;COUNTIF(G7:G21,"低")</f>
        <v>高： 1　　中： 2　　低： 0</v>
      </c>
    </row>
  </sheetData>
  <phoneticPr fontId="7"/>
  <dataValidations count="1">
    <dataValidation type="list" allowBlank="1" sqref="G7:G21" xr:uid="{00000000-0002-0000-0100-000000000000}">
      <formula1>"高,中,低"</formula1>
    </dataValidation>
  </dataValidations>
  <pageMargins left="0.4" right="0.4" top="0.4" bottom="0.4" header="0.5" footer="0.5"/>
  <pageSetup paperSize="9"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5"/>
  <sheetViews>
    <sheetView showGridLines="0" workbookViewId="0">
      <selection activeCell="C6" sqref="C6:C12"/>
    </sheetView>
  </sheetViews>
  <sheetFormatPr defaultRowHeight="13.5"/>
  <cols>
    <col min="1" max="1" width="5" customWidth="1"/>
    <col min="2" max="2" width="34" customWidth="1"/>
    <col min="3" max="3" width="10" customWidth="1"/>
    <col min="4" max="4" width="26" customWidth="1"/>
    <col min="5" max="5" width="9" customWidth="1"/>
    <col min="6" max="6" width="26" customWidth="1"/>
    <col min="7" max="7" width="14" customWidth="1"/>
    <col min="8" max="8" width="12" customWidth="1"/>
  </cols>
  <sheetData>
    <row r="1" spans="1:8" ht="18">
      <c r="A1" s="1" t="s">
        <v>59</v>
      </c>
    </row>
    <row r="2" spans="1:8" ht="14.25">
      <c r="A2" s="2" t="s">
        <v>60</v>
      </c>
    </row>
    <row r="3" spans="1:8" ht="14.25">
      <c r="A3" s="2" t="s">
        <v>61</v>
      </c>
    </row>
    <row r="4" spans="1:8" ht="14.25">
      <c r="A4" s="5" t="s">
        <v>27</v>
      </c>
    </row>
    <row r="5" spans="1:8" ht="25.5">
      <c r="A5" s="3" t="s">
        <v>0</v>
      </c>
      <c r="B5" s="3" t="s">
        <v>62</v>
      </c>
      <c r="C5" s="3" t="s">
        <v>63</v>
      </c>
      <c r="D5" s="3" t="s">
        <v>64</v>
      </c>
      <c r="E5" s="3" t="s">
        <v>65</v>
      </c>
      <c r="F5" s="3" t="s">
        <v>66</v>
      </c>
      <c r="G5" s="3" t="s">
        <v>34</v>
      </c>
      <c r="H5" s="3" t="s">
        <v>35</v>
      </c>
    </row>
    <row r="6" spans="1:8" ht="39.950000000000003" customHeight="1">
      <c r="A6" s="6">
        <v>1</v>
      </c>
      <c r="B6" s="6" t="s">
        <v>67</v>
      </c>
      <c r="C6" s="12" t="s">
        <v>68</v>
      </c>
      <c r="D6" s="6" t="s">
        <v>69</v>
      </c>
      <c r="E6" s="6" t="s">
        <v>70</v>
      </c>
      <c r="F6" s="6" t="s">
        <v>71</v>
      </c>
      <c r="G6" s="6" t="s">
        <v>43</v>
      </c>
      <c r="H6" s="7">
        <v>46341</v>
      </c>
    </row>
    <row r="7" spans="1:8" ht="39.950000000000003" customHeight="1">
      <c r="A7" s="6">
        <v>2</v>
      </c>
      <c r="B7" s="6" t="s">
        <v>72</v>
      </c>
      <c r="C7" s="13" t="s">
        <v>224</v>
      </c>
      <c r="D7" s="6" t="s">
        <v>74</v>
      </c>
      <c r="E7" s="6" t="s">
        <v>75</v>
      </c>
      <c r="F7" s="6" t="s">
        <v>76</v>
      </c>
      <c r="G7" s="6" t="s">
        <v>49</v>
      </c>
      <c r="H7" s="7">
        <v>46356</v>
      </c>
    </row>
    <row r="8" spans="1:8" ht="39.950000000000003" customHeight="1">
      <c r="A8" s="6">
        <v>3</v>
      </c>
      <c r="B8" s="6" t="s">
        <v>77</v>
      </c>
      <c r="C8" s="13" t="s">
        <v>78</v>
      </c>
      <c r="D8" s="6" t="s">
        <v>79</v>
      </c>
      <c r="E8" s="6" t="s">
        <v>75</v>
      </c>
      <c r="F8" s="6" t="s">
        <v>80</v>
      </c>
      <c r="G8" s="6" t="s">
        <v>43</v>
      </c>
      <c r="H8" s="7">
        <v>46366</v>
      </c>
    </row>
    <row r="9" spans="1:8" ht="26.1" customHeight="1">
      <c r="A9" s="4">
        <v>4</v>
      </c>
      <c r="B9" s="4" t="s">
        <v>81</v>
      </c>
      <c r="C9" s="14"/>
      <c r="D9" s="4"/>
      <c r="E9" s="4"/>
      <c r="F9" s="4"/>
      <c r="G9" s="4"/>
      <c r="H9" s="8"/>
    </row>
    <row r="10" spans="1:8" ht="26.1" customHeight="1">
      <c r="A10" s="4">
        <v>5</v>
      </c>
      <c r="B10" s="4" t="s">
        <v>82</v>
      </c>
      <c r="C10" s="14"/>
      <c r="D10" s="4"/>
      <c r="E10" s="4"/>
      <c r="F10" s="4"/>
      <c r="G10" s="4"/>
      <c r="H10" s="8"/>
    </row>
    <row r="11" spans="1:8" ht="26.1" customHeight="1">
      <c r="A11" s="4">
        <v>6</v>
      </c>
      <c r="B11" s="4" t="s">
        <v>83</v>
      </c>
      <c r="C11" s="14"/>
      <c r="D11" s="4"/>
      <c r="E11" s="4"/>
      <c r="F11" s="4"/>
      <c r="G11" s="4"/>
      <c r="H11" s="8"/>
    </row>
    <row r="12" spans="1:8" ht="26.1" customHeight="1">
      <c r="A12" s="4">
        <v>7</v>
      </c>
      <c r="B12" s="4" t="s">
        <v>84</v>
      </c>
      <c r="C12" s="14"/>
      <c r="D12" s="4"/>
      <c r="E12" s="4"/>
      <c r="F12" s="4"/>
      <c r="G12" s="4"/>
      <c r="H12" s="8"/>
    </row>
    <row r="14" spans="1:8" ht="14.25">
      <c r="A14" s="5" t="s">
        <v>85</v>
      </c>
    </row>
    <row r="15" spans="1:8" ht="15">
      <c r="A15" s="9" t="str">
        <f>"○： "&amp;COUNTIF(C6:C12,"○")&amp;"　　△： "&amp;COUNTIF(C6:C12,"△")&amp;"　　×： "&amp;COUNTIF(C6:C12,"×")</f>
        <v>○： 1　　△： 1　　×： 1</v>
      </c>
    </row>
  </sheetData>
  <phoneticPr fontId="7"/>
  <dataValidations count="2">
    <dataValidation type="list" allowBlank="1" sqref="C6:C12" xr:uid="{00000000-0002-0000-0200-000000000000}">
      <formula1>"○,△,×"</formula1>
    </dataValidation>
    <dataValidation type="list" allowBlank="1" sqref="E6:E12" xr:uid="{00000000-0002-0000-0200-000001000000}">
      <formula1>"はい,いいえ"</formula1>
    </dataValidation>
  </dataValidations>
  <pageMargins left="0.4" right="0.4" top="0.4" bottom="0.4" header="0.5" footer="0.5"/>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8"/>
  <sheetViews>
    <sheetView showGridLines="0" workbookViewId="0"/>
  </sheetViews>
  <sheetFormatPr defaultRowHeight="13.5"/>
  <cols>
    <col min="1" max="1" width="5" customWidth="1"/>
    <col min="2" max="2" width="18" customWidth="1"/>
    <col min="3" max="3" width="14" customWidth="1"/>
    <col min="4" max="5" width="12" customWidth="1"/>
    <col min="6" max="6" width="9" customWidth="1"/>
    <col min="7" max="7" width="11" customWidth="1"/>
    <col min="8" max="8" width="12" customWidth="1"/>
    <col min="9" max="9" width="22" customWidth="1"/>
    <col min="10" max="10" width="26" customWidth="1"/>
    <col min="11" max="11" width="14" customWidth="1"/>
  </cols>
  <sheetData>
    <row r="1" spans="1:11" ht="18">
      <c r="A1" s="1" t="s">
        <v>86</v>
      </c>
    </row>
    <row r="2" spans="1:11" ht="14.25">
      <c r="A2" s="2" t="s">
        <v>87</v>
      </c>
    </row>
    <row r="3" spans="1:11" ht="14.25">
      <c r="A3" s="2" t="s">
        <v>88</v>
      </c>
    </row>
    <row r="4" spans="1:11" ht="14.25">
      <c r="A4" s="5" t="s">
        <v>27</v>
      </c>
    </row>
    <row r="5" spans="1:11" ht="25.5">
      <c r="A5" s="3" t="s">
        <v>0</v>
      </c>
      <c r="B5" s="3" t="s">
        <v>89</v>
      </c>
      <c r="C5" s="3" t="s">
        <v>90</v>
      </c>
      <c r="D5" s="3" t="s">
        <v>91</v>
      </c>
      <c r="E5" s="3" t="s">
        <v>92</v>
      </c>
      <c r="F5" s="3" t="s">
        <v>93</v>
      </c>
      <c r="G5" s="3" t="s">
        <v>94</v>
      </c>
      <c r="H5" s="3" t="s">
        <v>95</v>
      </c>
      <c r="I5" s="3" t="s">
        <v>96</v>
      </c>
      <c r="J5" s="3" t="s">
        <v>97</v>
      </c>
      <c r="K5" s="3" t="s">
        <v>34</v>
      </c>
    </row>
    <row r="6" spans="1:11" ht="39.950000000000003" customHeight="1">
      <c r="A6" s="6">
        <v>1</v>
      </c>
      <c r="B6" s="6" t="s">
        <v>98</v>
      </c>
      <c r="C6" s="6" t="s">
        <v>99</v>
      </c>
      <c r="D6" s="6" t="s">
        <v>100</v>
      </c>
      <c r="E6" s="6" t="s">
        <v>101</v>
      </c>
      <c r="F6" s="6" t="s">
        <v>102</v>
      </c>
      <c r="G6" s="6" t="s">
        <v>103</v>
      </c>
      <c r="H6" s="7">
        <v>46477</v>
      </c>
      <c r="I6" s="6" t="s">
        <v>104</v>
      </c>
      <c r="J6" s="6" t="s">
        <v>105</v>
      </c>
      <c r="K6" s="6" t="s">
        <v>106</v>
      </c>
    </row>
    <row r="7" spans="1:11" ht="39.950000000000003" customHeight="1">
      <c r="A7" s="6">
        <v>2</v>
      </c>
      <c r="B7" s="6" t="s">
        <v>107</v>
      </c>
      <c r="C7" s="6" t="s">
        <v>108</v>
      </c>
      <c r="D7" s="6" t="s">
        <v>109</v>
      </c>
      <c r="E7" s="6" t="s">
        <v>110</v>
      </c>
      <c r="F7" s="6" t="s">
        <v>102</v>
      </c>
      <c r="G7" s="6" t="s">
        <v>103</v>
      </c>
      <c r="H7" s="7">
        <v>46371</v>
      </c>
      <c r="I7" s="6" t="s">
        <v>111</v>
      </c>
      <c r="J7" s="6" t="s">
        <v>112</v>
      </c>
      <c r="K7" s="6" t="s">
        <v>106</v>
      </c>
    </row>
    <row r="8" spans="1:11" ht="39.950000000000003" customHeight="1">
      <c r="A8" s="6">
        <v>3</v>
      </c>
      <c r="B8" s="6" t="s">
        <v>113</v>
      </c>
      <c r="C8" s="6" t="s">
        <v>114</v>
      </c>
      <c r="D8" s="6" t="s">
        <v>115</v>
      </c>
      <c r="E8" s="6" t="s">
        <v>116</v>
      </c>
      <c r="F8" s="6" t="s">
        <v>117</v>
      </c>
      <c r="G8" s="6" t="s">
        <v>118</v>
      </c>
      <c r="H8" s="7">
        <v>46397</v>
      </c>
      <c r="I8" s="6" t="s">
        <v>119</v>
      </c>
      <c r="J8" s="6" t="s">
        <v>120</v>
      </c>
      <c r="K8" s="6" t="s">
        <v>121</v>
      </c>
    </row>
    <row r="9" spans="1:11" ht="27.95" customHeight="1">
      <c r="A9" s="4">
        <v>4</v>
      </c>
      <c r="B9" s="4"/>
      <c r="C9" s="4"/>
      <c r="D9" s="4"/>
      <c r="E9" s="4"/>
      <c r="F9" s="4"/>
      <c r="G9" s="4"/>
      <c r="H9" s="8"/>
      <c r="I9" s="4"/>
      <c r="J9" s="4"/>
      <c r="K9" s="4"/>
    </row>
    <row r="10" spans="1:11" ht="27.95" customHeight="1">
      <c r="A10" s="4">
        <v>5</v>
      </c>
      <c r="B10" s="4"/>
      <c r="C10" s="4"/>
      <c r="D10" s="4"/>
      <c r="E10" s="4"/>
      <c r="F10" s="4"/>
      <c r="G10" s="4"/>
      <c r="H10" s="8"/>
      <c r="I10" s="4"/>
      <c r="J10" s="4"/>
      <c r="K10" s="4"/>
    </row>
    <row r="11" spans="1:11" ht="27.95" customHeight="1">
      <c r="A11" s="4">
        <v>6</v>
      </c>
      <c r="B11" s="4"/>
      <c r="C11" s="4"/>
      <c r="D11" s="4"/>
      <c r="E11" s="4"/>
      <c r="F11" s="4"/>
      <c r="G11" s="4"/>
      <c r="H11" s="8"/>
      <c r="I11" s="4"/>
      <c r="J11" s="4"/>
      <c r="K11" s="4"/>
    </row>
    <row r="12" spans="1:11" ht="27.95" customHeight="1">
      <c r="A12" s="4">
        <v>7</v>
      </c>
      <c r="B12" s="4"/>
      <c r="C12" s="4"/>
      <c r="D12" s="4"/>
      <c r="E12" s="4"/>
      <c r="F12" s="4"/>
      <c r="G12" s="4"/>
      <c r="H12" s="8"/>
      <c r="I12" s="4"/>
      <c r="J12" s="4"/>
      <c r="K12" s="4"/>
    </row>
    <row r="13" spans="1:11" ht="27.95" customHeight="1">
      <c r="A13" s="4">
        <v>8</v>
      </c>
      <c r="B13" s="4"/>
      <c r="C13" s="4"/>
      <c r="D13" s="4"/>
      <c r="E13" s="4"/>
      <c r="F13" s="4"/>
      <c r="G13" s="4"/>
      <c r="H13" s="8"/>
      <c r="I13" s="4"/>
      <c r="J13" s="4"/>
      <c r="K13" s="4"/>
    </row>
    <row r="14" spans="1:11" ht="27.95" customHeight="1">
      <c r="A14" s="4">
        <v>9</v>
      </c>
      <c r="B14" s="4"/>
      <c r="C14" s="4"/>
      <c r="D14" s="4"/>
      <c r="E14" s="4"/>
      <c r="F14" s="4"/>
      <c r="G14" s="4"/>
      <c r="H14" s="8"/>
      <c r="I14" s="4"/>
      <c r="J14" s="4"/>
      <c r="K14" s="4"/>
    </row>
    <row r="15" spans="1:11" ht="27.95" customHeight="1">
      <c r="A15" s="4">
        <v>10</v>
      </c>
      <c r="B15" s="4"/>
      <c r="C15" s="4"/>
      <c r="D15" s="4"/>
      <c r="E15" s="4"/>
      <c r="F15" s="4"/>
      <c r="G15" s="4"/>
      <c r="H15" s="8"/>
      <c r="I15" s="4"/>
      <c r="J15" s="4"/>
      <c r="K15" s="4"/>
    </row>
    <row r="16" spans="1:11" ht="27.95" customHeight="1">
      <c r="A16" s="4">
        <v>11</v>
      </c>
      <c r="B16" s="4"/>
      <c r="C16" s="4"/>
      <c r="D16" s="4"/>
      <c r="E16" s="4"/>
      <c r="F16" s="4"/>
      <c r="G16" s="4"/>
      <c r="H16" s="8"/>
      <c r="I16" s="4"/>
      <c r="J16" s="4"/>
      <c r="K16" s="4"/>
    </row>
    <row r="17" spans="1:11" ht="27.95" customHeight="1">
      <c r="A17" s="4">
        <v>12</v>
      </c>
      <c r="B17" s="4"/>
      <c r="C17" s="4"/>
      <c r="D17" s="4"/>
      <c r="E17" s="4"/>
      <c r="F17" s="4"/>
      <c r="G17" s="4"/>
      <c r="H17" s="8"/>
      <c r="I17" s="4"/>
      <c r="J17" s="4"/>
      <c r="K17" s="4"/>
    </row>
    <row r="18" spans="1:11" ht="27.95" customHeight="1">
      <c r="A18" s="4">
        <v>13</v>
      </c>
      <c r="B18" s="4"/>
      <c r="C18" s="4"/>
      <c r="D18" s="4"/>
      <c r="E18" s="4"/>
      <c r="F18" s="4"/>
      <c r="G18" s="4"/>
      <c r="H18" s="8"/>
      <c r="I18" s="4"/>
      <c r="J18" s="4"/>
      <c r="K18" s="4"/>
    </row>
  </sheetData>
  <phoneticPr fontId="7"/>
  <pageMargins left="0.4" right="0.4" top="0.4" bottom="0.4" header="0.5" footer="0.5"/>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8"/>
  <sheetViews>
    <sheetView showGridLines="0" workbookViewId="0">
      <selection activeCell="C6" sqref="C6:C15"/>
    </sheetView>
  </sheetViews>
  <sheetFormatPr defaultRowHeight="13.5"/>
  <cols>
    <col min="1" max="1" width="5" customWidth="1"/>
    <col min="2" max="2" width="32" customWidth="1"/>
    <col min="3" max="3" width="12" customWidth="1"/>
    <col min="4" max="4" width="26" customWidth="1"/>
    <col min="5" max="5" width="18" customWidth="1"/>
    <col min="6" max="6" width="26" customWidth="1"/>
    <col min="7" max="8" width="12" customWidth="1"/>
  </cols>
  <sheetData>
    <row r="1" spans="1:8" ht="18">
      <c r="A1" s="1" t="s">
        <v>122</v>
      </c>
    </row>
    <row r="2" spans="1:8" ht="14.25">
      <c r="A2" s="2" t="s">
        <v>123</v>
      </c>
    </row>
    <row r="3" spans="1:8" ht="32.25" customHeight="1">
      <c r="A3" s="11" t="s">
        <v>223</v>
      </c>
      <c r="B3" s="10"/>
      <c r="C3" s="10"/>
      <c r="D3" s="10"/>
      <c r="E3" s="10"/>
      <c r="F3" s="10"/>
      <c r="G3" s="10"/>
      <c r="H3" s="10"/>
    </row>
    <row r="4" spans="1:8" ht="14.25">
      <c r="A4" s="5" t="s">
        <v>27</v>
      </c>
    </row>
    <row r="5" spans="1:8" ht="25.5">
      <c r="A5" s="3" t="s">
        <v>0</v>
      </c>
      <c r="B5" s="3" t="s">
        <v>62</v>
      </c>
      <c r="C5" s="3" t="s">
        <v>124</v>
      </c>
      <c r="D5" s="3" t="s">
        <v>125</v>
      </c>
      <c r="E5" s="3" t="s">
        <v>36</v>
      </c>
      <c r="F5" s="3" t="s">
        <v>66</v>
      </c>
      <c r="G5" s="3" t="s">
        <v>34</v>
      </c>
      <c r="H5" s="3" t="s">
        <v>126</v>
      </c>
    </row>
    <row r="6" spans="1:8" ht="39.950000000000003" customHeight="1">
      <c r="A6" s="6">
        <v>1</v>
      </c>
      <c r="B6" s="6" t="s">
        <v>127</v>
      </c>
      <c r="C6" s="12" t="s">
        <v>68</v>
      </c>
      <c r="D6" s="6" t="s">
        <v>128</v>
      </c>
      <c r="E6" s="6" t="s">
        <v>129</v>
      </c>
      <c r="F6" s="6" t="s">
        <v>130</v>
      </c>
      <c r="G6" s="6" t="s">
        <v>131</v>
      </c>
      <c r="H6" s="7">
        <v>46295</v>
      </c>
    </row>
    <row r="7" spans="1:8" ht="39.950000000000003" customHeight="1">
      <c r="A7" s="6">
        <v>2</v>
      </c>
      <c r="B7" s="6" t="s">
        <v>132</v>
      </c>
      <c r="C7" s="13" t="s">
        <v>224</v>
      </c>
      <c r="D7" s="6" t="s">
        <v>133</v>
      </c>
      <c r="E7" s="6" t="s">
        <v>134</v>
      </c>
      <c r="F7" s="6" t="s">
        <v>135</v>
      </c>
      <c r="G7" s="6" t="s">
        <v>136</v>
      </c>
      <c r="H7" s="7">
        <v>46341</v>
      </c>
    </row>
    <row r="8" spans="1:8" ht="39.950000000000003" customHeight="1">
      <c r="A8" s="6">
        <v>3</v>
      </c>
      <c r="B8" s="6" t="s">
        <v>137</v>
      </c>
      <c r="C8" s="13" t="s">
        <v>225</v>
      </c>
      <c r="D8" s="6" t="s">
        <v>138</v>
      </c>
      <c r="E8" s="6" t="s">
        <v>139</v>
      </c>
      <c r="F8" s="6" t="s">
        <v>140</v>
      </c>
      <c r="G8" s="6" t="s">
        <v>141</v>
      </c>
      <c r="H8" s="7">
        <v>46295</v>
      </c>
    </row>
    <row r="9" spans="1:8" ht="39.950000000000003" customHeight="1">
      <c r="A9" s="6">
        <v>4</v>
      </c>
      <c r="B9" s="6" t="s">
        <v>142</v>
      </c>
      <c r="C9" s="13" t="s">
        <v>78</v>
      </c>
      <c r="D9" s="6" t="s">
        <v>143</v>
      </c>
      <c r="E9" s="6" t="s">
        <v>144</v>
      </c>
      <c r="F9" s="6" t="s">
        <v>145</v>
      </c>
      <c r="G9" s="6" t="s">
        <v>131</v>
      </c>
      <c r="H9" s="7">
        <v>46361</v>
      </c>
    </row>
    <row r="10" spans="1:8" ht="26.1" customHeight="1">
      <c r="A10" s="4">
        <v>5</v>
      </c>
      <c r="B10" s="4" t="s">
        <v>146</v>
      </c>
      <c r="C10" s="14"/>
      <c r="D10" s="4"/>
      <c r="E10" s="4"/>
      <c r="F10" s="4"/>
      <c r="G10" s="4"/>
      <c r="H10" s="8"/>
    </row>
    <row r="11" spans="1:8" ht="26.1" customHeight="1">
      <c r="A11" s="4">
        <v>6</v>
      </c>
      <c r="B11" s="4" t="s">
        <v>147</v>
      </c>
      <c r="C11" s="14"/>
      <c r="D11" s="4"/>
      <c r="E11" s="4"/>
      <c r="F11" s="4"/>
      <c r="G11" s="4"/>
      <c r="H11" s="8"/>
    </row>
    <row r="12" spans="1:8" ht="26.1" customHeight="1">
      <c r="A12" s="4">
        <v>7</v>
      </c>
      <c r="B12" s="4" t="s">
        <v>148</v>
      </c>
      <c r="C12" s="14"/>
      <c r="D12" s="4"/>
      <c r="E12" s="4"/>
      <c r="F12" s="4"/>
      <c r="G12" s="4"/>
      <c r="H12" s="8"/>
    </row>
    <row r="13" spans="1:8" ht="26.1" customHeight="1">
      <c r="A13" s="4">
        <v>8</v>
      </c>
      <c r="B13" s="4" t="s">
        <v>149</v>
      </c>
      <c r="C13" s="14"/>
      <c r="D13" s="4"/>
      <c r="E13" s="4"/>
      <c r="F13" s="4"/>
      <c r="G13" s="4"/>
      <c r="H13" s="8"/>
    </row>
    <row r="14" spans="1:8" ht="26.1" customHeight="1">
      <c r="A14" s="4">
        <v>9</v>
      </c>
      <c r="B14" s="4" t="s">
        <v>150</v>
      </c>
      <c r="C14" s="14"/>
      <c r="D14" s="4"/>
      <c r="E14" s="4"/>
      <c r="F14" s="4"/>
      <c r="G14" s="4"/>
      <c r="H14" s="8"/>
    </row>
    <row r="15" spans="1:8" ht="26.1" customHeight="1">
      <c r="A15" s="4">
        <v>10</v>
      </c>
      <c r="B15" s="4" t="s">
        <v>151</v>
      </c>
      <c r="C15" s="14"/>
      <c r="D15" s="4"/>
      <c r="E15" s="4"/>
      <c r="F15" s="4"/>
      <c r="G15" s="4"/>
      <c r="H15" s="8"/>
    </row>
    <row r="17" spans="1:1" ht="14.25">
      <c r="A17" s="5" t="s">
        <v>85</v>
      </c>
    </row>
    <row r="18" spans="1:1" ht="15">
      <c r="A18" s="9" t="str">
        <f>"○： "&amp;COUNTIF(C6:C15,"○")&amp;"　　△： "&amp;COUNTIF(C6:C15,"△")&amp;"　　×： "&amp;COUNTIF(C6:C15,"×")&amp;"　　－： "&amp;COUNTIF(C6:C15,"－")</f>
        <v>○： 1　　△： 1　　×： 1　　－： 1</v>
      </c>
    </row>
  </sheetData>
  <mergeCells count="1">
    <mergeCell ref="A3:H3"/>
  </mergeCells>
  <phoneticPr fontId="7"/>
  <dataValidations count="1">
    <dataValidation type="list" allowBlank="1" sqref="C6:C15" xr:uid="{00000000-0002-0000-0400-000000000000}">
      <formula1>"○,△,×,－"</formula1>
    </dataValidation>
  </dataValidations>
  <pageMargins left="0.4" right="0.4" top="0.4" bottom="0.4" header="0.5" footer="0.5"/>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17"/>
  <sheetViews>
    <sheetView showGridLines="0" workbookViewId="0"/>
  </sheetViews>
  <sheetFormatPr defaultRowHeight="13.5"/>
  <cols>
    <col min="1" max="1" width="5" customWidth="1"/>
    <col min="2" max="2" width="20" customWidth="1"/>
    <col min="3" max="5" width="16" customWidth="1"/>
    <col min="6" max="6" width="24" customWidth="1"/>
    <col min="7" max="7" width="22" customWidth="1"/>
    <col min="8" max="8" width="12" customWidth="1"/>
    <col min="9" max="9" width="20" customWidth="1"/>
    <col min="10" max="10" width="12" customWidth="1"/>
  </cols>
  <sheetData>
    <row r="1" spans="1:10" ht="18">
      <c r="A1" s="1" t="s">
        <v>152</v>
      </c>
    </row>
    <row r="2" spans="1:10" ht="14.25">
      <c r="A2" s="2" t="s">
        <v>153</v>
      </c>
    </row>
    <row r="3" spans="1:10" ht="14.25">
      <c r="A3" s="2" t="s">
        <v>154</v>
      </c>
    </row>
    <row r="4" spans="1:10" ht="14.25">
      <c r="A4" s="5" t="s">
        <v>27</v>
      </c>
    </row>
    <row r="5" spans="1:10" ht="25.5">
      <c r="A5" s="3" t="s">
        <v>0</v>
      </c>
      <c r="B5" s="3" t="s">
        <v>155</v>
      </c>
      <c r="C5" s="3" t="s">
        <v>156</v>
      </c>
      <c r="D5" s="3" t="s">
        <v>157</v>
      </c>
      <c r="E5" s="3" t="s">
        <v>158</v>
      </c>
      <c r="F5" s="3" t="s">
        <v>159</v>
      </c>
      <c r="G5" s="3" t="s">
        <v>160</v>
      </c>
      <c r="H5" s="3" t="s">
        <v>161</v>
      </c>
      <c r="I5" s="3" t="s">
        <v>162</v>
      </c>
      <c r="J5" s="3" t="s">
        <v>163</v>
      </c>
    </row>
    <row r="6" spans="1:10" ht="44.1" customHeight="1">
      <c r="A6" s="6">
        <v>1</v>
      </c>
      <c r="B6" s="6" t="s">
        <v>164</v>
      </c>
      <c r="C6" s="6" t="s">
        <v>165</v>
      </c>
      <c r="D6" s="6" t="s">
        <v>166</v>
      </c>
      <c r="E6" s="6" t="s">
        <v>167</v>
      </c>
      <c r="F6" s="6" t="s">
        <v>168</v>
      </c>
      <c r="G6" s="6" t="s">
        <v>169</v>
      </c>
      <c r="H6" s="6" t="s">
        <v>170</v>
      </c>
      <c r="I6" s="6" t="s">
        <v>171</v>
      </c>
      <c r="J6" s="7">
        <v>46407</v>
      </c>
    </row>
    <row r="7" spans="1:10" ht="44.1" customHeight="1">
      <c r="A7" s="6">
        <v>2</v>
      </c>
      <c r="B7" s="6" t="s">
        <v>172</v>
      </c>
      <c r="C7" s="6" t="s">
        <v>173</v>
      </c>
      <c r="D7" s="6" t="s">
        <v>174</v>
      </c>
      <c r="E7" s="6" t="s">
        <v>175</v>
      </c>
      <c r="F7" s="6" t="s">
        <v>176</v>
      </c>
      <c r="G7" s="6" t="s">
        <v>177</v>
      </c>
      <c r="H7" s="6" t="s">
        <v>170</v>
      </c>
      <c r="I7" s="6" t="s">
        <v>178</v>
      </c>
      <c r="J7" s="7">
        <v>46419</v>
      </c>
    </row>
    <row r="8" spans="1:10" ht="27.95" customHeight="1">
      <c r="A8" s="4">
        <v>3</v>
      </c>
      <c r="B8" s="4"/>
      <c r="C8" s="4"/>
      <c r="D8" s="4"/>
      <c r="E8" s="4"/>
      <c r="F8" s="4"/>
      <c r="G8" s="4"/>
      <c r="H8" s="4"/>
      <c r="I8" s="4"/>
      <c r="J8" s="8"/>
    </row>
    <row r="9" spans="1:10" ht="27.95" customHeight="1">
      <c r="A9" s="4">
        <v>4</v>
      </c>
      <c r="B9" s="4"/>
      <c r="C9" s="4"/>
      <c r="D9" s="4"/>
      <c r="E9" s="4"/>
      <c r="F9" s="4"/>
      <c r="G9" s="4"/>
      <c r="H9" s="4"/>
      <c r="I9" s="4"/>
      <c r="J9" s="8"/>
    </row>
    <row r="10" spans="1:10" ht="27.95" customHeight="1">
      <c r="A10" s="4">
        <v>5</v>
      </c>
      <c r="B10" s="4"/>
      <c r="C10" s="4"/>
      <c r="D10" s="4"/>
      <c r="E10" s="4"/>
      <c r="F10" s="4"/>
      <c r="G10" s="4"/>
      <c r="H10" s="4"/>
      <c r="I10" s="4"/>
      <c r="J10" s="8"/>
    </row>
    <row r="11" spans="1:10" ht="27.95" customHeight="1">
      <c r="A11" s="4">
        <v>6</v>
      </c>
      <c r="B11" s="4"/>
      <c r="C11" s="4"/>
      <c r="D11" s="4"/>
      <c r="E11" s="4"/>
      <c r="F11" s="4"/>
      <c r="G11" s="4"/>
      <c r="H11" s="4"/>
      <c r="I11" s="4"/>
      <c r="J11" s="8"/>
    </row>
    <row r="12" spans="1:10" ht="27.95" customHeight="1">
      <c r="A12" s="4">
        <v>7</v>
      </c>
      <c r="B12" s="4"/>
      <c r="C12" s="4"/>
      <c r="D12" s="4"/>
      <c r="E12" s="4"/>
      <c r="F12" s="4"/>
      <c r="G12" s="4"/>
      <c r="H12" s="4"/>
      <c r="I12" s="4"/>
      <c r="J12" s="8"/>
    </row>
    <row r="13" spans="1:10" ht="27.95" customHeight="1">
      <c r="A13" s="4">
        <v>8</v>
      </c>
      <c r="B13" s="4"/>
      <c r="C13" s="4"/>
      <c r="D13" s="4"/>
      <c r="E13" s="4"/>
      <c r="F13" s="4"/>
      <c r="G13" s="4"/>
      <c r="H13" s="4"/>
      <c r="I13" s="4"/>
      <c r="J13" s="8"/>
    </row>
    <row r="14" spans="1:10" ht="27.95" customHeight="1">
      <c r="A14" s="4">
        <v>9</v>
      </c>
      <c r="B14" s="4"/>
      <c r="C14" s="4"/>
      <c r="D14" s="4"/>
      <c r="E14" s="4"/>
      <c r="F14" s="4"/>
      <c r="G14" s="4"/>
      <c r="H14" s="4"/>
      <c r="I14" s="4"/>
      <c r="J14" s="8"/>
    </row>
    <row r="15" spans="1:10" ht="27.95" customHeight="1">
      <c r="A15" s="4">
        <v>10</v>
      </c>
      <c r="B15" s="4"/>
      <c r="C15" s="4"/>
      <c r="D15" s="4"/>
      <c r="E15" s="4"/>
      <c r="F15" s="4"/>
      <c r="G15" s="4"/>
      <c r="H15" s="4"/>
      <c r="I15" s="4"/>
      <c r="J15" s="8"/>
    </row>
    <row r="16" spans="1:10" ht="27.95" customHeight="1">
      <c r="A16" s="4">
        <v>11</v>
      </c>
      <c r="B16" s="4"/>
      <c r="C16" s="4"/>
      <c r="D16" s="4"/>
      <c r="E16" s="4"/>
      <c r="F16" s="4"/>
      <c r="G16" s="4"/>
      <c r="H16" s="4"/>
      <c r="I16" s="4"/>
      <c r="J16" s="8"/>
    </row>
    <row r="17" spans="1:10" ht="27.95" customHeight="1">
      <c r="A17" s="4">
        <v>12</v>
      </c>
      <c r="B17" s="4"/>
      <c r="C17" s="4"/>
      <c r="D17" s="4"/>
      <c r="E17" s="4"/>
      <c r="F17" s="4"/>
      <c r="G17" s="4"/>
      <c r="H17" s="4"/>
      <c r="I17" s="4"/>
      <c r="J17" s="8"/>
    </row>
  </sheetData>
  <phoneticPr fontId="7"/>
  <pageMargins left="0.4" right="0.4" top="0.4" bottom="0.4" header="0.5" footer="0.5"/>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24"/>
  <sheetViews>
    <sheetView showGridLines="0" workbookViewId="0">
      <selection activeCell="B6" sqref="B6"/>
    </sheetView>
  </sheetViews>
  <sheetFormatPr defaultRowHeight="13.5"/>
  <cols>
    <col min="1" max="1" width="5" customWidth="1"/>
    <col min="2" max="2" width="13" customWidth="1"/>
    <col min="3" max="3" width="24" customWidth="1"/>
    <col min="4" max="4" width="22" customWidth="1"/>
    <col min="5" max="5" width="10" customWidth="1"/>
    <col min="6" max="6" width="24" customWidth="1"/>
    <col min="7" max="7" width="26" customWidth="1"/>
    <col min="8" max="8" width="10" customWidth="1"/>
    <col min="9" max="9" width="14" customWidth="1"/>
    <col min="10" max="10" width="12" customWidth="1"/>
    <col min="11" max="11" width="13" customWidth="1"/>
  </cols>
  <sheetData>
    <row r="1" spans="1:11" ht="18">
      <c r="A1" s="1" t="s">
        <v>179</v>
      </c>
    </row>
    <row r="2" spans="1:11" ht="14.25">
      <c r="A2" s="2" t="s">
        <v>180</v>
      </c>
    </row>
    <row r="3" spans="1:11" ht="14.25">
      <c r="A3" s="2" t="s">
        <v>181</v>
      </c>
    </row>
    <row r="4" spans="1:11" ht="14.25">
      <c r="A4" s="5" t="s">
        <v>27</v>
      </c>
    </row>
    <row r="5" spans="1:11" ht="38.25">
      <c r="A5" s="3" t="s">
        <v>0</v>
      </c>
      <c r="B5" s="3" t="s">
        <v>182</v>
      </c>
      <c r="C5" s="3" t="s">
        <v>183</v>
      </c>
      <c r="D5" s="3" t="s">
        <v>125</v>
      </c>
      <c r="E5" s="3" t="s">
        <v>184</v>
      </c>
      <c r="F5" s="3" t="s">
        <v>185</v>
      </c>
      <c r="G5" s="3" t="s">
        <v>186</v>
      </c>
      <c r="H5" s="3" t="s">
        <v>187</v>
      </c>
      <c r="I5" s="3" t="s">
        <v>34</v>
      </c>
      <c r="J5" s="3" t="s">
        <v>126</v>
      </c>
      <c r="K5" s="3" t="s">
        <v>188</v>
      </c>
    </row>
    <row r="6" spans="1:11" ht="39.950000000000003" customHeight="1">
      <c r="A6" s="6">
        <v>1</v>
      </c>
      <c r="B6" s="6" t="s">
        <v>189</v>
      </c>
      <c r="C6" s="6" t="s">
        <v>190</v>
      </c>
      <c r="D6" s="6" t="s">
        <v>191</v>
      </c>
      <c r="E6" s="12" t="s">
        <v>73</v>
      </c>
      <c r="F6" s="6" t="s">
        <v>192</v>
      </c>
      <c r="G6" s="6" t="s">
        <v>193</v>
      </c>
      <c r="H6" s="12" t="s">
        <v>42</v>
      </c>
      <c r="I6" s="6" t="s">
        <v>131</v>
      </c>
      <c r="J6" s="7">
        <v>46446</v>
      </c>
      <c r="K6" s="6" t="s">
        <v>194</v>
      </c>
    </row>
    <row r="7" spans="1:11" ht="39.950000000000003" customHeight="1">
      <c r="A7" s="6">
        <v>2</v>
      </c>
      <c r="B7" s="6" t="s">
        <v>9</v>
      </c>
      <c r="C7" s="6" t="s">
        <v>195</v>
      </c>
      <c r="D7" s="6" t="s">
        <v>196</v>
      </c>
      <c r="E7" s="13" t="s">
        <v>224</v>
      </c>
      <c r="F7" s="6" t="s">
        <v>197</v>
      </c>
      <c r="G7" s="6" t="s">
        <v>198</v>
      </c>
      <c r="H7" s="13" t="s">
        <v>226</v>
      </c>
      <c r="I7" s="6" t="s">
        <v>131</v>
      </c>
      <c r="J7" s="7">
        <v>46366</v>
      </c>
      <c r="K7" s="6" t="s">
        <v>194</v>
      </c>
    </row>
    <row r="8" spans="1:11" ht="39.950000000000003" customHeight="1">
      <c r="A8" s="6">
        <v>3</v>
      </c>
      <c r="B8" s="6" t="s">
        <v>199</v>
      </c>
      <c r="C8" s="6" t="s">
        <v>200</v>
      </c>
      <c r="D8" s="6" t="s">
        <v>201</v>
      </c>
      <c r="E8" s="13" t="s">
        <v>224</v>
      </c>
      <c r="F8" s="6" t="s">
        <v>202</v>
      </c>
      <c r="G8" s="6" t="s">
        <v>203</v>
      </c>
      <c r="H8" s="13" t="s">
        <v>226</v>
      </c>
      <c r="I8" s="6" t="s">
        <v>136</v>
      </c>
      <c r="J8" s="7">
        <v>46477</v>
      </c>
      <c r="K8" s="6" t="s">
        <v>204</v>
      </c>
    </row>
    <row r="9" spans="1:11" ht="39.950000000000003" customHeight="1">
      <c r="A9" s="6">
        <v>4</v>
      </c>
      <c r="B9" s="6" t="s">
        <v>15</v>
      </c>
      <c r="C9" s="6" t="s">
        <v>205</v>
      </c>
      <c r="D9" s="6" t="s">
        <v>206</v>
      </c>
      <c r="E9" s="13" t="s">
        <v>78</v>
      </c>
      <c r="F9" s="6" t="s">
        <v>207</v>
      </c>
      <c r="G9" s="6" t="s">
        <v>208</v>
      </c>
      <c r="H9" s="13" t="s">
        <v>226</v>
      </c>
      <c r="I9" s="6" t="s">
        <v>131</v>
      </c>
      <c r="J9" s="7">
        <v>46361</v>
      </c>
      <c r="K9" s="6" t="s">
        <v>204</v>
      </c>
    </row>
    <row r="10" spans="1:11" ht="39.950000000000003" customHeight="1">
      <c r="A10" s="6">
        <v>5</v>
      </c>
      <c r="B10" s="6" t="s">
        <v>209</v>
      </c>
      <c r="C10" s="6" t="s">
        <v>210</v>
      </c>
      <c r="D10" s="6" t="s">
        <v>211</v>
      </c>
      <c r="E10" s="13" t="s">
        <v>224</v>
      </c>
      <c r="F10" s="6" t="s">
        <v>212</v>
      </c>
      <c r="G10" s="6" t="s">
        <v>213</v>
      </c>
      <c r="H10" s="13" t="s">
        <v>227</v>
      </c>
      <c r="I10" s="6" t="s">
        <v>214</v>
      </c>
      <c r="J10" s="7">
        <v>46446</v>
      </c>
      <c r="K10" s="6" t="s">
        <v>194</v>
      </c>
    </row>
    <row r="11" spans="1:11" ht="39.950000000000003" customHeight="1">
      <c r="A11" s="6">
        <v>6</v>
      </c>
      <c r="B11" s="6" t="s">
        <v>215</v>
      </c>
      <c r="C11" s="6" t="s">
        <v>216</v>
      </c>
      <c r="D11" s="6" t="s">
        <v>217</v>
      </c>
      <c r="E11" s="13" t="s">
        <v>224</v>
      </c>
      <c r="F11" s="6" t="s">
        <v>218</v>
      </c>
      <c r="G11" s="6" t="s">
        <v>219</v>
      </c>
      <c r="H11" s="13" t="s">
        <v>227</v>
      </c>
      <c r="I11" s="6" t="s">
        <v>170</v>
      </c>
      <c r="J11" s="7">
        <v>46418</v>
      </c>
      <c r="K11" s="6" t="s">
        <v>204</v>
      </c>
    </row>
    <row r="12" spans="1:11" ht="26.1" customHeight="1">
      <c r="A12" s="4">
        <v>7</v>
      </c>
      <c r="B12" s="4"/>
      <c r="C12" s="4"/>
      <c r="D12" s="4"/>
      <c r="E12" s="14"/>
      <c r="F12" s="4"/>
      <c r="G12" s="4"/>
      <c r="H12" s="14"/>
      <c r="I12" s="4"/>
      <c r="J12" s="8"/>
      <c r="K12" s="4"/>
    </row>
    <row r="13" spans="1:11" ht="26.1" customHeight="1">
      <c r="A13" s="4">
        <v>8</v>
      </c>
      <c r="B13" s="4"/>
      <c r="C13" s="4"/>
      <c r="D13" s="4"/>
      <c r="E13" s="14"/>
      <c r="F13" s="4"/>
      <c r="G13" s="4"/>
      <c r="H13" s="14"/>
      <c r="I13" s="4"/>
      <c r="J13" s="8"/>
      <c r="K13" s="4"/>
    </row>
    <row r="14" spans="1:11" ht="26.1" customHeight="1">
      <c r="A14" s="4">
        <v>9</v>
      </c>
      <c r="B14" s="4"/>
      <c r="C14" s="4"/>
      <c r="D14" s="4"/>
      <c r="E14" s="14"/>
      <c r="F14" s="4"/>
      <c r="G14" s="4"/>
      <c r="H14" s="14"/>
      <c r="I14" s="4"/>
      <c r="J14" s="8"/>
      <c r="K14" s="4"/>
    </row>
    <row r="15" spans="1:11" ht="26.1" customHeight="1">
      <c r="A15" s="4">
        <v>10</v>
      </c>
      <c r="B15" s="4"/>
      <c r="C15" s="4"/>
      <c r="D15" s="4"/>
      <c r="E15" s="14"/>
      <c r="F15" s="4"/>
      <c r="G15" s="4"/>
      <c r="H15" s="14"/>
      <c r="I15" s="4"/>
      <c r="J15" s="8"/>
      <c r="K15" s="4"/>
    </row>
    <row r="16" spans="1:11" ht="26.1" customHeight="1">
      <c r="A16" s="4">
        <v>11</v>
      </c>
      <c r="B16" s="4"/>
      <c r="C16" s="4"/>
      <c r="D16" s="4"/>
      <c r="E16" s="14"/>
      <c r="F16" s="4"/>
      <c r="G16" s="4"/>
      <c r="H16" s="14"/>
      <c r="I16" s="4"/>
      <c r="J16" s="8"/>
      <c r="K16" s="4"/>
    </row>
    <row r="17" spans="1:11" ht="26.1" customHeight="1">
      <c r="A17" s="4">
        <v>12</v>
      </c>
      <c r="B17" s="4"/>
      <c r="C17" s="4"/>
      <c r="D17" s="4"/>
      <c r="E17" s="14"/>
      <c r="F17" s="4"/>
      <c r="G17" s="4"/>
      <c r="H17" s="14"/>
      <c r="I17" s="4"/>
      <c r="J17" s="8"/>
      <c r="K17" s="4"/>
    </row>
    <row r="18" spans="1:11" ht="26.1" customHeight="1">
      <c r="A18" s="4">
        <v>13</v>
      </c>
      <c r="B18" s="4"/>
      <c r="C18" s="4"/>
      <c r="D18" s="4"/>
      <c r="E18" s="14"/>
      <c r="F18" s="4"/>
      <c r="G18" s="4"/>
      <c r="H18" s="14"/>
      <c r="I18" s="4"/>
      <c r="J18" s="8"/>
      <c r="K18" s="4"/>
    </row>
    <row r="19" spans="1:11" ht="26.1" customHeight="1">
      <c r="A19" s="4">
        <v>14</v>
      </c>
      <c r="B19" s="4"/>
      <c r="C19" s="4"/>
      <c r="D19" s="4"/>
      <c r="E19" s="14"/>
      <c r="F19" s="4"/>
      <c r="G19" s="4"/>
      <c r="H19" s="14"/>
      <c r="I19" s="4"/>
      <c r="J19" s="8"/>
      <c r="K19" s="4"/>
    </row>
    <row r="21" spans="1:11" ht="14.25">
      <c r="A21" s="5" t="s">
        <v>220</v>
      </c>
    </row>
    <row r="22" spans="1:11" ht="15">
      <c r="A22" s="9" t="str">
        <f>"高： "&amp;COUNTIF(H6:H19,"高")&amp;"　　中： "&amp;COUNTIF(H6:H19,"中")&amp;"　　低： "&amp;COUNTIF(H6:H19,"低")</f>
        <v>高： 3　　中： 3　　低： 0</v>
      </c>
    </row>
    <row r="23" spans="1:11" ht="14.25">
      <c r="A23" s="5" t="s">
        <v>221</v>
      </c>
    </row>
    <row r="24" spans="1:11" ht="15">
      <c r="A24" s="9" t="str">
        <f>"未着手： "&amp;COUNTIF(K6:K19,"未着手")&amp;"　　進行中： "&amp;COUNTIF(K6:K19,"進行中")&amp;"　　完了： "&amp;COUNTIF(K6:K19,"完了")</f>
        <v>未着手： 3　　進行中： 3　　完了： 0</v>
      </c>
    </row>
  </sheetData>
  <phoneticPr fontId="7"/>
  <dataValidations count="3">
    <dataValidation type="list" allowBlank="1" sqref="E6:E19" xr:uid="{00000000-0002-0000-0600-000000000000}">
      <formula1>"○,△,×,－"</formula1>
    </dataValidation>
    <dataValidation type="list" allowBlank="1" sqref="H6:H19" xr:uid="{00000000-0002-0000-0600-000001000000}">
      <formula1>"高,中,低"</formula1>
    </dataValidation>
    <dataValidation type="list" allowBlank="1" sqref="K6:K19" xr:uid="{00000000-0002-0000-0600-000002000000}">
      <formula1>"未着手,進行中,完了"</formula1>
    </dataValidation>
  </dataValidations>
  <pageMargins left="0.4" right="0.4" top="0.4" bottom="0.4"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目次</vt:lpstr>
      <vt:lpstr>4.1_PRP棚卸し</vt:lpstr>
      <vt:lpstr>4.2_食品安全文化</vt:lpstr>
      <vt:lpstr>4.3_食品ロスKPI</vt:lpstr>
      <vt:lpstr>4.4_表示管理</vt:lpstr>
      <vt:lpstr>4.5_AI自主点検</vt:lpstr>
      <vt:lpstr>4.6_総合ギャップ分析</vt:lpstr>
      <vt:lpstr>'4.1_PRP棚卸し'!Print_Titles</vt:lpstr>
      <vt:lpstr>'4.2_食品安全文化'!Print_Titles</vt:lpstr>
      <vt:lpstr>'4.3_食品ロスKPI'!Print_Titles</vt:lpstr>
      <vt:lpstr>'4.4_表示管理'!Print_Titles</vt:lpstr>
      <vt:lpstr>'4.5_AI自主点検'!Print_Titles</vt:lpstr>
      <vt:lpstr>'4.6_総合ギャップ分析'!Print_Titles</vt:lpstr>
      <vt:lpstr>目次!Print_Titles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FSSC22000 V7移行　実務テンプレート集</dc:title>
  <dc:creator>椎名宗一郎</dc:creator>
  <cp:lastModifiedBy>user</cp:lastModifiedBy>
  <cp:lastPrinted>2026-09-05T02:05:17Z</cp:lastPrinted>
  <dcterms:created xsi:type="dcterms:W3CDTF">2026-09-05T01:57:33Z</dcterms:created>
  <dcterms:modified xsi:type="dcterms:W3CDTF">2026-09-05T02:05:52Z</dcterms:modified>
</cp:coreProperties>
</file>