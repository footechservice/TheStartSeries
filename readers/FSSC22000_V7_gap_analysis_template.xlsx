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https://d.docs.live.net/58ec801adaeb66fd/●TheStart/Kindle/移行ガイド/"/>
    </mc:Choice>
  </mc:AlternateContent>
  <xr:revisionPtr revIDLastSave="0" documentId="13_ncr:1_{8BAF22AB-B1FD-41AA-A609-A6F8169A0868}" xr6:coauthVersionLast="47" xr6:coauthVersionMax="47" xr10:uidLastSave="{00000000-0000-0000-0000-000000000000}"/>
  <bookViews>
    <workbookView xWindow="660" yWindow="1035" windowWidth="16350" windowHeight="14445" tabRatio="500" xr2:uid="{00000000-000D-0000-FFFF-FFFF00000000}"/>
  </bookViews>
  <sheets>
    <sheet name="目次" sheetId="1" r:id="rId1"/>
    <sheet name="4.1_PRP棚卸し" sheetId="2" r:id="rId2"/>
    <sheet name="4.2_食品安全文化" sheetId="3" r:id="rId3"/>
    <sheet name="4.3_食品ロスKPI" sheetId="4" r:id="rId4"/>
    <sheet name="4.4_表示管理" sheetId="5" r:id="rId5"/>
    <sheet name="4.5_AI利用リスク評価" sheetId="6" r:id="rId6"/>
    <sheet name="4.6_総合ギャップ分析" sheetId="7" r:id="rId7"/>
  </sheets>
  <definedNames>
    <definedName name="_xlnm.Print_Titles" localSheetId="1">'4.1_PRP棚卸し'!$6:$6</definedName>
    <definedName name="_xlnm.Print_Titles" localSheetId="2">'4.2_食品安全文化'!$5:$5</definedName>
    <definedName name="_xlnm.Print_Titles" localSheetId="3">'4.3_食品ロスKPI'!$6:$6</definedName>
    <definedName name="_xlnm.Print_Titles" localSheetId="4">'4.4_表示管理'!$5:$5</definedName>
    <definedName name="_xlnm.Print_Titles" localSheetId="5">'4.5_AI利用リスク評価'!$5:$5</definedName>
    <definedName name="_xlnm.Print_Titles" localSheetId="6">'4.6_総合ギャップ分析'!$5:$5</definedName>
    <definedName name="_xlnm.Print_Titles" localSheetId="0">目次!$4:$4</definedName>
  </definedNames>
  <calcPr calcId="191029" iterateDelta="1E-4"/>
</workbook>
</file>

<file path=xl/calcChain.xml><?xml version="1.0" encoding="utf-8"?>
<calcChain xmlns="http://schemas.openxmlformats.org/spreadsheetml/2006/main">
  <c r="F23" i="7" l="1"/>
  <c r="D23" i="7"/>
  <c r="B23" i="7"/>
  <c r="F20" i="7"/>
  <c r="D20" i="7"/>
  <c r="B20" i="7"/>
  <c r="F21" i="5"/>
  <c r="D21" i="5"/>
  <c r="B21" i="5"/>
  <c r="F20" i="3"/>
  <c r="D20" i="3"/>
  <c r="B20" i="3"/>
  <c r="F16" i="2"/>
  <c r="D16" i="2"/>
  <c r="B16" i="2"/>
</calcChain>
</file>

<file path=xl/sharedStrings.xml><?xml version="1.0" encoding="utf-8"?>
<sst xmlns="http://schemas.openxmlformats.org/spreadsheetml/2006/main" count="263" uniqueCount="199">
  <si>
    <t>FSSC22000 V7移行ギャップ分析テンプレート集</t>
  </si>
  <si>
    <t>第4章「ギャップ分析テンプレート」に対応するワークシート集です。各シートの入力欄にご記入ください。プルダウンが設定されている列は、セルをクリックして選択できます。</t>
  </si>
  <si>
    <t>No.</t>
  </si>
  <si>
    <t>シート名</t>
  </si>
  <si>
    <t>内容</t>
  </si>
  <si>
    <t>リンク</t>
  </si>
  <si>
    <t>4.1</t>
  </si>
  <si>
    <t>4.1_PRP棚卸し</t>
  </si>
  <si>
    <t>PRP文書の棚卸しとV7要求事項（ISO22002-100）との整合性確認</t>
  </si>
  <si>
    <t>開く</t>
  </si>
  <si>
    <t>4.2</t>
  </si>
  <si>
    <t>4.2_食品安全文化</t>
  </si>
  <si>
    <t>食品安全文化が行動として根付いていることを示す証拠の確認</t>
  </si>
  <si>
    <t>4.3</t>
  </si>
  <si>
    <t>4.3_食品ロスKPI</t>
  </si>
  <si>
    <t>工程別の食品ロス測定とKPI設定</t>
  </si>
  <si>
    <t>4.4</t>
  </si>
  <si>
    <t>4.4_表示管理</t>
  </si>
  <si>
    <t>表示管理の適用範囲拡大（工程外ラベル含む）への対応確認</t>
  </si>
  <si>
    <t>4.5</t>
  </si>
  <si>
    <t>4.5_AI利用リスク評価</t>
  </si>
  <si>
    <t>AI利用時のリスク評価（AI未使用の場合は「該当なし」）</t>
  </si>
  <si>
    <t>4.6</t>
  </si>
  <si>
    <t>4.6_総合ギャップ分析</t>
  </si>
  <si>
    <t>全テンプレートを統合した、移行準備の進捗一覧</t>
  </si>
  <si>
    <t>4.1　PRP棚卸しテンプレート</t>
  </si>
  <si>
    <t>PRP（前提条件プログラム）は、食品安全の基礎となる衛生管理の仕組みです。</t>
  </si>
  <si>
    <t>V7ではPRPがISO22002-100へ刷新されたため、従来のPRP文書を棚卸しし、要求事項との整合性を確認する必要があります。</t>
  </si>
  <si>
    <t>このテンプレートを使用することで、PRPの抜け漏れを体系的に確認できます。</t>
  </si>
  <si>
    <t>※ 斜体（グレー）の行は記入例です。実際のPRP項目に置き換えてご使用ください。優先度欄はプルダウンから選択できます。</t>
  </si>
  <si>
    <t>項目名</t>
  </si>
  <si>
    <t>現状の運用内容</t>
  </si>
  <si>
    <t>V7要求事項との整合性</t>
  </si>
  <si>
    <t>不足している点</t>
  </si>
  <si>
    <t>必要な改善内容</t>
  </si>
  <si>
    <t>改善の優先度
（高・中・低）</t>
  </si>
  <si>
    <t>担当者</t>
  </si>
  <si>
    <t>完了予定日</t>
  </si>
  <si>
    <t>【記入例】有害生物防除（害虫・害獣対策）</t>
  </si>
  <si>
    <t>外部業者による月1回の巡回点検とトラップ設置を実施している</t>
  </si>
  <si>
    <t>ISO22002-100の該当箇条とおおむね整合している</t>
  </si>
  <si>
    <t>点検記録の様式が旧版のまま更新されていない</t>
  </si>
  <si>
    <t>記録様式をV7対応版に改訂し、是正処置欄を追加する</t>
  </si>
  <si>
    <t>中</t>
  </si>
  <si>
    <t>品質保証課　佐藤</t>
  </si>
  <si>
    <t>【記入例】清掃・洗浄プログラム</t>
  </si>
  <si>
    <t>各製造ラインで清掃チェックシートを使用しているが、記録が紙ベースで検索性が低い</t>
  </si>
  <si>
    <t>清掃頻度の妥当性を裏付ける微生物検査データとの紐づけがない</t>
  </si>
  <si>
    <t>清掃記録をデジタル化し、定期微生物検査結果と連動させる</t>
  </si>
  <si>
    <t>高</t>
  </si>
  <si>
    <t>製造課　鈴木</t>
  </si>
  <si>
    <t>【記入例】原材料の受入管理</t>
  </si>
  <si>
    <t>受入時に外観検査と証明書確認を実施している</t>
  </si>
  <si>
    <t>ISO22002-100の該当箇条と整合している</t>
  </si>
  <si>
    <t>仕入先を急遽変更した際の緊急受入基準が明文化されていない</t>
  </si>
  <si>
    <t>緊急受入時の判断基準と承認フローを文書化する</t>
  </si>
  <si>
    <t>購買課　高橋</t>
  </si>
  <si>
    <t>優先度別の件数（自動集計）</t>
  </si>
  <si>
    <t>低</t>
  </si>
  <si>
    <t>4.2　食品安全文化チェックリスト</t>
  </si>
  <si>
    <t>食品安全文化は、V7で強化された重要な要求事項です。</t>
  </si>
  <si>
    <t>単なる教育記録ではなく、文化が行動として根付いていることを示す証拠が必要になります。</t>
  </si>
  <si>
    <t>※ 斜体（グレー）の行は記入例です。各チェック項目について評価欄以降をご記入ください。評価欄はプルダウンから選択できます。</t>
  </si>
  <si>
    <t>チェック項目</t>
  </si>
  <si>
    <t>改善内容</t>
  </si>
  <si>
    <t>【記入例】食品安全に関する定期的なコミュニケーションが行われている</t>
  </si>
  <si>
    <t>△</t>
  </si>
  <si>
    <t>朝礼での共有はあるが、記録として残っていない</t>
  </si>
  <si>
    <t>共有内容を議事録に記録し、月次で保管する運用に変更する</t>
  </si>
  <si>
    <t>【記入例】従業員の改善提案が記録されている</t>
  </si>
  <si>
    <t>提案は口頭で出ているが、記録に残す仕組みがない</t>
  </si>
  <si>
    <t>改善提案シートを作成し、月次で集約・共有する運用に変更する</t>
  </si>
  <si>
    <t>【記入例】教育内容の理解度確認が実施されている</t>
  </si>
  <si>
    <t>×</t>
  </si>
  <si>
    <t>教育後の理解度確認テストを実施していない</t>
  </si>
  <si>
    <t>研修後に簡易確認テストを実施し、結果を記録として残す</t>
  </si>
  <si>
    <t>【記入例】現場での行動変化が記録されている</t>
  </si>
  <si>
    <t>行動変化を裏付ける具体的な記録（写真・チェック等）が不足している</t>
  </si>
  <si>
    <t>現場巡回時の写真記録と気づきシートの運用を開始する</t>
  </si>
  <si>
    <t>食品安全に関する定期的なコミュニケーションが行われている</t>
  </si>
  <si>
    <t>従業員の改善提案が記録されている</t>
  </si>
  <si>
    <t>教育内容の理解度確認が実施されている</t>
  </si>
  <si>
    <t>現場での行動変化が記録されている</t>
  </si>
  <si>
    <t>経営層が食品安全に関与している</t>
  </si>
  <si>
    <t>食品安全に関する目標が共有されている</t>
  </si>
  <si>
    <t>食品安全に関する問題が迅速に共有されている</t>
  </si>
  <si>
    <t>評価別の件数（自動集計）</t>
  </si>
  <si>
    <t>○</t>
  </si>
  <si>
    <t>4.3　食品ロスKPI設定テンプレート</t>
  </si>
  <si>
    <t>食品ロス管理は、V7で新たに必須となった要求事項です。</t>
  </si>
  <si>
    <t>食品ロスの計測とKPI設定が必要となるため、簡易的に導入できるテンプレートを用意しています。</t>
  </si>
  <si>
    <t>中小企業でも使いやすいように、ロスの分類を簡易化しています。</t>
  </si>
  <si>
    <t>※ 斜体（グレー）の行は記入例です。工程ごとにロスの発生状況をご記入ください。</t>
  </si>
  <si>
    <t>工程名</t>
  </si>
  <si>
    <t>食品ロスの種類
（加工ロス／廃棄ロス／返品ロスなど）</t>
  </si>
  <si>
    <t>ロスの発生原因</t>
  </si>
  <si>
    <t>改善の方向性</t>
  </si>
  <si>
    <t>KPI
（例：ロス率○％以下）</t>
  </si>
  <si>
    <t>改善活動の記録</t>
  </si>
  <si>
    <t>評価日</t>
  </si>
  <si>
    <t>【記入例】包装工程</t>
  </si>
  <si>
    <t>加工ロス</t>
  </si>
  <si>
    <t>120kg／月</t>
  </si>
  <si>
    <t>包装フィルムのカット不良によるロス</t>
  </si>
  <si>
    <t>カット刃の定期交換とオペレーター教育の実施</t>
  </si>
  <si>
    <t>ロス率1.5％以下</t>
  </si>
  <si>
    <t>2026年9月より新オペレーター教育を開始</t>
  </si>
  <si>
    <t>製造課　田中</t>
  </si>
  <si>
    <t>【記入例】加熱調理工程</t>
  </si>
  <si>
    <t>廃棄ロス</t>
  </si>
  <si>
    <t>85kg／月</t>
  </si>
  <si>
    <t>加熱温度・時間の設定誤りによる規格外品の発生</t>
  </si>
  <si>
    <t>加熱条件の標準化とダブルチェック体制の導入</t>
  </si>
  <si>
    <t>ロス率1.0％以下</t>
  </si>
  <si>
    <t>2026年10月より加熱条件チェックシートを導入</t>
  </si>
  <si>
    <t>【記入例】乾燥スープ充填工程</t>
  </si>
  <si>
    <t>返品ロス</t>
  </si>
  <si>
    <t>6件／月</t>
  </si>
  <si>
    <t>充填量のばらつきによる規格外品の返品</t>
  </si>
  <si>
    <t>充填機の定期校正頻度を見直す</t>
  </si>
  <si>
    <t>返品率0.5％以下</t>
  </si>
  <si>
    <t>2026年11月より充填機の週次校正を開始</t>
  </si>
  <si>
    <t>製造課　伊藤</t>
  </si>
  <si>
    <t>4.4　表示管理チェックリスト</t>
  </si>
  <si>
    <t>V7では表示管理の適用範囲が拡大され、工程外のラベル管理も対象となりました。</t>
  </si>
  <si>
    <t>誤表示防止のためのチェックリストを整備することで、審査での指摘を防ぐことができます。</t>
  </si>
  <si>
    <t>【記入例】製品ラベルの内容確認</t>
  </si>
  <si>
    <t>特になし</t>
  </si>
  <si>
    <t>現行の確認手順を維持する</t>
  </si>
  <si>
    <t>品質保証課</t>
  </si>
  <si>
    <t>【記入例】外装箱・段ボールラベルの管理</t>
  </si>
  <si>
    <t>外装箱の版下承認記録が一部欠落している</t>
  </si>
  <si>
    <t>版下承認記録を全件デジタル保管に統一する</t>
  </si>
  <si>
    <t>製造課</t>
  </si>
  <si>
    <t>【記入例】仕分けラベルの管理</t>
  </si>
  <si>
    <t>現行の管理方法を継続する</t>
  </si>
  <si>
    <t>物流課</t>
  </si>
  <si>
    <t>【記入例】顧客支給ラベルの確認</t>
  </si>
  <si>
    <t>顧客支給ラベルの受入時検品記録がない</t>
  </si>
  <si>
    <t>受入時のラベル内容確認と記録様式を新設する</t>
  </si>
  <si>
    <t>製品ラベルの内容確認</t>
  </si>
  <si>
    <t>外装箱・段ボールラベルの管理</t>
  </si>
  <si>
    <t>仕分けラベルの管理</t>
  </si>
  <si>
    <t>顧客支給ラベルの確認</t>
  </si>
  <si>
    <t>ラベル保管場所の管理</t>
  </si>
  <si>
    <t>誤表示防止のための工程設計</t>
  </si>
  <si>
    <t>ラベル貼付作業の二重チェック</t>
  </si>
  <si>
    <t>ラベル廃棄の管理</t>
  </si>
  <si>
    <t>4.5　AI利用時のリスク評価テンプレート</t>
  </si>
  <si>
    <t>AIを利用している場合、V7ではリスク評価が必須となります。</t>
  </si>
  <si>
    <t>AIを使用していない場合は「該当なし」で問題ありません。</t>
  </si>
  <si>
    <t>※ 斜体（グレー）の行は記入例です。AIの用途ごとに1行を目安にご記入ください。</t>
  </si>
  <si>
    <t>AIの利用目的</t>
  </si>
  <si>
    <t>利用範囲</t>
  </si>
  <si>
    <t>AIが誤情報を出す可能性</t>
  </si>
  <si>
    <t>誤情報が食品安全に与える影響</t>
  </si>
  <si>
    <t>確認プロセス</t>
  </si>
  <si>
    <t>リスク低減策</t>
  </si>
  <si>
    <t>【記入例】需要予測AIによる発注数量の最適化</t>
  </si>
  <si>
    <t>発注担当部門のみ、社内システム上で利用</t>
  </si>
  <si>
    <t>学習データの偏りにより需要予測を大幅に誤る可能性がある</t>
  </si>
  <si>
    <t>欠品・過剰在庫による品質劣化リスクにつながる可能性がある</t>
  </si>
  <si>
    <t>発注担当者が最終数量を目視確認のうえ確定する</t>
  </si>
  <si>
    <t>定期的なモデル精度検証と、逸脱時のアラート設定</t>
  </si>
  <si>
    <t>情報システム課</t>
  </si>
  <si>
    <t>【記入例】画像認識AIによる外観検査の補助</t>
  </si>
  <si>
    <t>製造ライン終端の目視検査補助として一部工程で試験導入</t>
  </si>
  <si>
    <t>照明条件の変化により異物検知の精度が低下する場合がある</t>
  </si>
  <si>
    <t>異物混入品の見逃しにつながる可能性がある</t>
  </si>
  <si>
    <t>AI検査後、最終出荷前に人による抜き取り検査を実施する</t>
  </si>
  <si>
    <t>定期的な検知精度の検証と、照明環境の標準化</t>
  </si>
  <si>
    <t>【記入例】文書検索AIによる社内規程の検索補助</t>
  </si>
  <si>
    <t>品質保証課内での規程・記録の検索のみ、社外連携なし</t>
  </si>
  <si>
    <t>古い版の規程を最新版として提示してしまう可能性がある</t>
  </si>
  <si>
    <t>誤った手順に基づく作業実施につながる可能性がある</t>
  </si>
  <si>
    <t>検索結果の版番号・改訂日を必ず原本と照合する</t>
  </si>
  <si>
    <t>検索対象フォルダを最新版のみに限定し、旧版は別管理する</t>
  </si>
  <si>
    <t>4.6　V7移行ギャップ分析シート（総合版）</t>
  </si>
  <si>
    <t>各テンプレートの内容を統合し、V7移行に必要な全体のギャップを一覧化するための総合版シートです。</t>
  </si>
  <si>
    <t>このシートを使用することで、移行準備の進捗を一目で把握できます。</t>
  </si>
  <si>
    <t>※ 斜体（グレー）の行は記入例です。4.1〜4.5で洗い出した要求事項を集約してご記入ください。評価・優先度・改善状況欄はプルダウンから選択できます。</t>
  </si>
  <si>
    <t>要求事項</t>
  </si>
  <si>
    <t>改善状況
（未着手／進行中／完了）</t>
  </si>
  <si>
    <t>【記入例】PRP（ISO22002-100）への刷新</t>
  </si>
  <si>
    <t>記録様式が旧基準のまま</t>
  </si>
  <si>
    <t>記録様式の更新と是正処置欄の追加</t>
  </si>
  <si>
    <t>進行中</t>
  </si>
  <si>
    <t>【記入例】食品安全文化の証拠強化</t>
  </si>
  <si>
    <t>改善提案・教育理解度の記録が不足している</t>
  </si>
  <si>
    <t>改善提案シートと理解度確認テストを導入する</t>
  </si>
  <si>
    <t>【記入例】表示物の受入検品体制</t>
  </si>
  <si>
    <t>顧客支給ラベルの受入検品記録がない</t>
  </si>
  <si>
    <t>受入検品記録様式を新設し、運用を開始する</t>
  </si>
  <si>
    <t>未着手</t>
  </si>
  <si>
    <t>改善状況の集計（自動集計）</t>
  </si>
  <si>
    <t>完了</t>
  </si>
  <si>
    <t>優先度の集計（自動集計）</t>
  </si>
  <si>
    <r>
      <rPr>
        <b/>
        <sz val="10"/>
        <color rgb="FF000000"/>
        <rFont val="ＭＳ ゴシック"/>
        <family val="3"/>
        <charset val="128"/>
      </rPr>
      <t>現状の評価
（</t>
    </r>
    <r>
      <rPr>
        <b/>
        <sz val="10"/>
        <color rgb="FF000000"/>
        <rFont val="Segoe UI Symbol"/>
        <family val="2"/>
      </rPr>
      <t>○</t>
    </r>
    <r>
      <rPr>
        <b/>
        <sz val="10"/>
        <color rgb="FF000000"/>
        <rFont val="Segoe UI Symbol"/>
        <family val="3"/>
      </rPr>
      <t>△</t>
    </r>
    <r>
      <rPr>
        <b/>
        <sz val="10"/>
        <color rgb="FF000000"/>
        <rFont val="游ゴシック"/>
        <family val="2"/>
        <charset val="128"/>
      </rPr>
      <t>×</t>
    </r>
    <r>
      <rPr>
        <b/>
        <sz val="10"/>
        <color rgb="FF000000"/>
        <rFont val="ＭＳ ゴシック"/>
        <family val="3"/>
        <charset val="128"/>
      </rPr>
      <t>）</t>
    </r>
    <phoneticPr fontId="14"/>
  </si>
  <si>
    <t>ロスの
発生量
（数値）</t>
    <phoneticPr fontId="1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</si>
</sst>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1"/>
    </font>
    <font>
      <b/>
      <sz val="14"/>
      <color rgb="FF000000"/>
      <name val="游ゴシック"/>
      <family val="3"/>
      <charset val="128"/>
    </font>
    <font>
      <sz val="10"/>
      <color rgb="FF000000"/>
      <name val="游ゴシック"/>
      <family val="3"/>
      <charset val="128"/>
    </font>
    <font>
      <b/>
      <sz val="10"/>
      <name val="游ゴシック"/>
      <family val="3"/>
      <charset val="128"/>
    </font>
    <font>
      <sz val="10"/>
      <name val="游ゴシック"/>
      <family val="3"/>
      <charset val="128"/>
    </font>
    <font>
      <b/>
      <sz val="10"/>
      <color rgb="FF000000"/>
      <name val="游ゴシック"/>
      <family val="3"/>
      <charset val="128"/>
    </font>
    <font>
      <i/>
      <sz val="10"/>
      <color rgb="FF808080"/>
      <name val="游ゴシック"/>
      <family val="3"/>
      <charset val="128"/>
    </font>
    <font>
      <sz val="10"/>
      <color rgb="FF000000"/>
      <name val="Noto Sans CJK JP"/>
      <family val="2"/>
    </font>
    <font>
      <b/>
      <sz val="10"/>
      <name val="Noto Sans CJK JP"/>
      <family val="2"/>
    </font>
    <font>
      <u/>
      <sz val="10"/>
      <color rgb="FF1155CC"/>
      <name val="Noto Sans CJK JP"/>
      <family val="2"/>
    </font>
    <font>
      <sz val="10"/>
      <name val="Noto Sans CJK JP"/>
      <family val="2"/>
    </font>
    <font>
      <i/>
      <sz val="9"/>
      <color rgb="FF808080"/>
      <name val="Noto Sans CJK JP"/>
      <family val="2"/>
    </font>
    <font>
      <b/>
      <sz val="10"/>
      <color rgb="FF000000"/>
      <name val="Noto Sans CJK JP"/>
      <family val="2"/>
    </font>
    <font>
      <i/>
      <sz val="10"/>
      <color rgb="FF808080"/>
      <name val="Noto Sans CJK JP"/>
      <family val="2"/>
    </font>
    <font>
      <sz val="6"/>
      <name val="ＭＳ Ｐゴシック"/>
      <family val="3"/>
      <charset val="128"/>
    </font>
    <font>
      <b/>
      <sz val="10"/>
      <color rgb="FF000000"/>
      <name val="ＭＳ ゴシック"/>
      <family val="3"/>
      <charset val="128"/>
    </font>
    <font>
      <b/>
      <sz val="10"/>
      <color rgb="FF000000"/>
      <name val="Segoe UI Symbol"/>
      <family val="2"/>
    </font>
    <font>
      <b/>
      <sz val="10"/>
      <color rgb="FF000000"/>
      <name val="Segoe UI Symbol"/>
      <family val="3"/>
    </font>
    <font>
      <b/>
      <sz val="10"/>
      <color rgb="FF000000"/>
      <name val="游ゴシック"/>
      <family val="2"/>
      <charset val="128"/>
    </font>
    <font>
      <b/>
      <sz val="10"/>
      <color rgb="FF000000"/>
      <name val="Noto Sans CJK JP"/>
      <family val="3"/>
      <charset val="12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4" fillId="0" borderId="0" xfId="0" applyFont="1"/>
    <xf numFmtId="0" fontId="3" fillId="0" borderId="0" xfId="0" applyFont="1"/>
    <xf numFmtId="0" fontId="7" fillId="0" borderId="0" xfId="0" applyFont="1" applyAlignment="1">
      <alignment horizontal="left" vertical="center" wrapText="1"/>
    </xf>
    <xf numFmtId="0" fontId="8" fillId="0" borderId="0" xfId="0" applyFont="1"/>
    <xf numFmtId="0" fontId="1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14" fontId="6" fillId="0" borderId="1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14" fontId="2" fillId="0" borderId="0" xfId="0" applyNumberFormat="1" applyFont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center" wrapText="1"/>
    </xf>
    <xf numFmtId="0" fontId="19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0" xfId="0"/>
    <xf numFmtId="0" fontId="7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FSSC22000_V7&#31227;&#34892;_&#12462;&#12515;&#12483;&#12503;&#20998;&#26512;&#12486;&#12531;&#12503;&#12524;&#12540;&#12488;.xlsx" TargetMode="External"/><Relationship Id="rId2" Type="http://schemas.openxmlformats.org/officeDocument/2006/relationships/hyperlink" Target="FSSC22000_V7&#31227;&#34892;_&#12462;&#12515;&#12483;&#12503;&#20998;&#26512;&#12486;&#12531;&#12503;&#12524;&#12540;&#12488;.xlsx" TargetMode="External"/><Relationship Id="rId1" Type="http://schemas.openxmlformats.org/officeDocument/2006/relationships/hyperlink" Target="FSSC22000_V7&#31227;&#34892;_&#12462;&#12515;&#12483;&#12503;&#20998;&#26512;&#12486;&#12531;&#12503;&#12524;&#12540;&#12488;.xlsx" TargetMode="External"/><Relationship Id="rId6" Type="http://schemas.openxmlformats.org/officeDocument/2006/relationships/hyperlink" Target="FSSC22000_V7&#31227;&#34892;_&#12462;&#12515;&#12483;&#12503;&#20998;&#26512;&#12486;&#12531;&#12503;&#12524;&#12540;&#12488;.xlsx" TargetMode="External"/><Relationship Id="rId5" Type="http://schemas.openxmlformats.org/officeDocument/2006/relationships/hyperlink" Target="FSSC22000_V7&#31227;&#34892;_&#12462;&#12515;&#12483;&#12503;&#20998;&#26512;&#12486;&#12531;&#12503;&#12524;&#12540;&#12488;.xlsx" TargetMode="External"/><Relationship Id="rId4" Type="http://schemas.openxmlformats.org/officeDocument/2006/relationships/hyperlink" Target="FSSC22000_V7&#31227;&#34892;_&#12462;&#12515;&#12483;&#12503;&#20998;&#26512;&#12486;&#12531;&#12503;&#12524;&#12540;&#12488;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10"/>
  <sheetViews>
    <sheetView showGridLines="0" tabSelected="1" zoomScaleNormal="100" workbookViewId="0">
      <selection sqref="A1:D1"/>
    </sheetView>
  </sheetViews>
  <sheetFormatPr defaultColWidth="8.7109375" defaultRowHeight="15"/>
  <cols>
    <col min="1" max="1" width="6" customWidth="1"/>
    <col min="2" max="2" width="22" customWidth="1"/>
    <col min="3" max="3" width="60" customWidth="1"/>
    <col min="4" max="4" width="8" customWidth="1"/>
  </cols>
  <sheetData>
    <row r="1" spans="1:4" ht="25.5" customHeight="1">
      <c r="A1" s="24" t="s">
        <v>0</v>
      </c>
      <c r="B1" s="25"/>
      <c r="C1" s="25"/>
      <c r="D1" s="25"/>
    </row>
    <row r="2" spans="1:4" ht="33.75" customHeight="1">
      <c r="A2" s="26" t="s">
        <v>1</v>
      </c>
      <c r="B2" s="25"/>
      <c r="C2" s="25"/>
      <c r="D2" s="25"/>
    </row>
    <row r="4" spans="1:4" ht="21.75" customHeight="1">
      <c r="A4" s="16" t="s">
        <v>2</v>
      </c>
      <c r="B4" s="17" t="s">
        <v>3</v>
      </c>
      <c r="C4" s="17" t="s">
        <v>4</v>
      </c>
      <c r="D4" s="17" t="s">
        <v>5</v>
      </c>
    </row>
    <row r="5" spans="1:4" ht="19.5" customHeight="1">
      <c r="A5" s="18" t="s">
        <v>6</v>
      </c>
      <c r="B5" s="18" t="s">
        <v>7</v>
      </c>
      <c r="C5" s="19" t="s">
        <v>8</v>
      </c>
      <c r="D5" s="20" t="s">
        <v>9</v>
      </c>
    </row>
    <row r="6" spans="1:4" ht="19.5" customHeight="1">
      <c r="A6" s="18" t="s">
        <v>10</v>
      </c>
      <c r="B6" s="18" t="s">
        <v>11</v>
      </c>
      <c r="C6" s="21" t="s">
        <v>12</v>
      </c>
      <c r="D6" s="20" t="s">
        <v>9</v>
      </c>
    </row>
    <row r="7" spans="1:4" ht="19.5" customHeight="1">
      <c r="A7" s="18" t="s">
        <v>13</v>
      </c>
      <c r="B7" s="18" t="s">
        <v>14</v>
      </c>
      <c r="C7" s="21" t="s">
        <v>15</v>
      </c>
      <c r="D7" s="20" t="s">
        <v>9</v>
      </c>
    </row>
    <row r="8" spans="1:4" ht="19.5" customHeight="1">
      <c r="A8" s="18" t="s">
        <v>16</v>
      </c>
      <c r="B8" s="18" t="s">
        <v>17</v>
      </c>
      <c r="C8" s="21" t="s">
        <v>18</v>
      </c>
      <c r="D8" s="20" t="s">
        <v>9</v>
      </c>
    </row>
    <row r="9" spans="1:4" ht="19.5" customHeight="1">
      <c r="A9" s="18" t="s">
        <v>19</v>
      </c>
      <c r="B9" s="18" t="s">
        <v>20</v>
      </c>
      <c r="C9" s="19" t="s">
        <v>21</v>
      </c>
      <c r="D9" s="20" t="s">
        <v>9</v>
      </c>
    </row>
    <row r="10" spans="1:4" ht="19.5" customHeight="1">
      <c r="A10" s="18" t="s">
        <v>22</v>
      </c>
      <c r="B10" s="18" t="s">
        <v>23</v>
      </c>
      <c r="C10" s="21" t="s">
        <v>24</v>
      </c>
      <c r="D10" s="20" t="s">
        <v>9</v>
      </c>
    </row>
  </sheetData>
  <mergeCells count="2">
    <mergeCell ref="A1:D1"/>
    <mergeCell ref="A2:D2"/>
  </mergeCells>
  <phoneticPr fontId="14"/>
  <hyperlinks>
    <hyperlink ref="D5" r:id="rId1" location="'4.1_PRP棚卸し'!A1" xr:uid="{00000000-0004-0000-0000-000000000000}"/>
    <hyperlink ref="D6" r:id="rId2" location="'4.2_食品安全文化'!A1" xr:uid="{00000000-0004-0000-0000-000001000000}"/>
    <hyperlink ref="D7" r:id="rId3" location="'4.3_食品ロスKPI'!A1" xr:uid="{00000000-0004-0000-0000-000002000000}"/>
    <hyperlink ref="D8" r:id="rId4" location="'4.4_表示管理'!A1" xr:uid="{00000000-0004-0000-0000-000003000000}"/>
    <hyperlink ref="D9" r:id="rId5" location="'4.5_AI利用リスク評価'!A1" xr:uid="{00000000-0004-0000-0000-000004000000}"/>
    <hyperlink ref="D10" r:id="rId6" location="'4.6_総合ギャップ分析'!A1" xr:uid="{00000000-0004-0000-0000-000005000000}"/>
  </hyperlinks>
  <pageMargins left="0.5" right="0.5" top="0.6" bottom="0.6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16"/>
  <sheetViews>
    <sheetView showGridLines="0" zoomScaleNormal="100" workbookViewId="0">
      <pane ySplit="7" topLeftCell="A8" activePane="bottomLeft" state="frozen"/>
      <selection pane="bottomLeft" activeCell="H7" sqref="H7:H14"/>
    </sheetView>
  </sheetViews>
  <sheetFormatPr defaultColWidth="8.7109375" defaultRowHeight="15"/>
  <cols>
    <col min="1" max="1" width="20" customWidth="1"/>
    <col min="2" max="2" width="30" customWidth="1"/>
    <col min="3" max="3" width="26" customWidth="1"/>
    <col min="4" max="4" width="24" customWidth="1"/>
    <col min="5" max="5" width="28" customWidth="1"/>
    <col min="6" max="8" width="14" customWidth="1"/>
  </cols>
  <sheetData>
    <row r="1" spans="1:8" ht="25.5" customHeight="1">
      <c r="A1" s="24" t="s">
        <v>25</v>
      </c>
      <c r="B1" s="25"/>
      <c r="C1" s="25"/>
      <c r="D1" s="25"/>
      <c r="E1" s="25"/>
      <c r="F1" s="25"/>
      <c r="G1" s="25"/>
      <c r="H1" s="25"/>
    </row>
    <row r="2" spans="1:8" ht="18" customHeight="1">
      <c r="A2" s="28" t="s">
        <v>26</v>
      </c>
      <c r="B2" s="25"/>
      <c r="C2" s="25"/>
      <c r="D2" s="25"/>
      <c r="E2" s="25"/>
      <c r="F2" s="25"/>
      <c r="G2" s="25"/>
      <c r="H2" s="25"/>
    </row>
    <row r="3" spans="1:8" ht="18" customHeight="1">
      <c r="A3" s="28" t="s">
        <v>27</v>
      </c>
      <c r="B3" s="25"/>
      <c r="C3" s="25"/>
      <c r="D3" s="25"/>
      <c r="E3" s="25"/>
      <c r="F3" s="25"/>
      <c r="G3" s="25"/>
      <c r="H3" s="25"/>
    </row>
    <row r="4" spans="1:8" ht="18" customHeight="1">
      <c r="A4" s="26" t="s">
        <v>28</v>
      </c>
      <c r="B4" s="25"/>
      <c r="C4" s="25"/>
      <c r="D4" s="25"/>
      <c r="E4" s="25"/>
      <c r="F4" s="25"/>
      <c r="G4" s="25"/>
      <c r="H4" s="25"/>
    </row>
    <row r="5" spans="1:8" ht="15.75" customHeight="1">
      <c r="A5" s="27" t="s">
        <v>29</v>
      </c>
      <c r="B5" s="25"/>
      <c r="C5" s="25"/>
      <c r="D5" s="25"/>
      <c r="E5" s="25"/>
      <c r="F5" s="25"/>
      <c r="G5" s="25"/>
      <c r="H5" s="25"/>
    </row>
    <row r="6" spans="1:8" ht="45.75" customHeight="1">
      <c r="A6" s="5" t="s">
        <v>30</v>
      </c>
      <c r="B6" s="5" t="s">
        <v>31</v>
      </c>
      <c r="C6" s="6" t="s">
        <v>32</v>
      </c>
      <c r="D6" s="5" t="s">
        <v>33</v>
      </c>
      <c r="E6" s="5" t="s">
        <v>34</v>
      </c>
      <c r="F6" s="5" t="s">
        <v>35</v>
      </c>
      <c r="G6" s="5" t="s">
        <v>36</v>
      </c>
      <c r="H6" s="5" t="s">
        <v>37</v>
      </c>
    </row>
    <row r="7" spans="1:8" ht="50.1" customHeight="1">
      <c r="A7" s="7" t="s">
        <v>38</v>
      </c>
      <c r="B7" s="7" t="s">
        <v>39</v>
      </c>
      <c r="C7" s="8" t="s">
        <v>40</v>
      </c>
      <c r="D7" s="7" t="s">
        <v>41</v>
      </c>
      <c r="E7" s="7" t="s">
        <v>42</v>
      </c>
      <c r="F7" s="7" t="s">
        <v>43</v>
      </c>
      <c r="G7" s="7" t="s">
        <v>44</v>
      </c>
      <c r="H7" s="11">
        <v>46326</v>
      </c>
    </row>
    <row r="8" spans="1:8" ht="50.1" customHeight="1">
      <c r="A8" s="7" t="s">
        <v>45</v>
      </c>
      <c r="B8" s="7" t="s">
        <v>46</v>
      </c>
      <c r="C8" s="8" t="s">
        <v>40</v>
      </c>
      <c r="D8" s="7" t="s">
        <v>47</v>
      </c>
      <c r="E8" s="7" t="s">
        <v>48</v>
      </c>
      <c r="F8" s="7" t="s">
        <v>49</v>
      </c>
      <c r="G8" s="7" t="s">
        <v>50</v>
      </c>
      <c r="H8" s="11">
        <v>46356</v>
      </c>
    </row>
    <row r="9" spans="1:8" ht="50.1" customHeight="1">
      <c r="A9" s="7" t="s">
        <v>51</v>
      </c>
      <c r="B9" s="7" t="s">
        <v>52</v>
      </c>
      <c r="C9" s="8" t="s">
        <v>53</v>
      </c>
      <c r="D9" s="7" t="s">
        <v>54</v>
      </c>
      <c r="E9" s="7" t="s">
        <v>55</v>
      </c>
      <c r="F9" s="7" t="s">
        <v>43</v>
      </c>
      <c r="G9" s="7" t="s">
        <v>56</v>
      </c>
      <c r="H9" s="11">
        <v>46346</v>
      </c>
    </row>
    <row r="10" spans="1:8" ht="50.1" customHeight="1">
      <c r="A10" s="9"/>
      <c r="B10" s="9"/>
      <c r="C10" s="9"/>
      <c r="D10" s="9"/>
      <c r="E10" s="9"/>
      <c r="F10" s="9"/>
      <c r="G10" s="9"/>
      <c r="H10" s="12"/>
    </row>
    <row r="11" spans="1:8" ht="50.1" customHeight="1">
      <c r="A11" s="9"/>
      <c r="B11" s="9"/>
      <c r="C11" s="9"/>
      <c r="D11" s="9"/>
      <c r="E11" s="9"/>
      <c r="F11" s="9"/>
      <c r="G11" s="9"/>
      <c r="H11" s="12"/>
    </row>
    <row r="12" spans="1:8" ht="50.1" customHeight="1">
      <c r="A12" s="9"/>
      <c r="B12" s="9"/>
      <c r="C12" s="9"/>
      <c r="D12" s="9"/>
      <c r="E12" s="9"/>
      <c r="F12" s="9"/>
      <c r="G12" s="9"/>
      <c r="H12" s="12"/>
    </row>
    <row r="13" spans="1:8" ht="50.1" customHeight="1">
      <c r="A13" s="9"/>
      <c r="B13" s="9"/>
      <c r="C13" s="9"/>
      <c r="D13" s="9"/>
      <c r="E13" s="9"/>
      <c r="F13" s="9"/>
      <c r="G13" s="9"/>
      <c r="H13" s="12"/>
    </row>
    <row r="14" spans="1:8" ht="50.1" customHeight="1">
      <c r="A14" s="9"/>
      <c r="B14" s="9"/>
      <c r="C14" s="9"/>
      <c r="D14" s="9"/>
      <c r="E14" s="9"/>
      <c r="F14" s="9"/>
      <c r="G14" s="9"/>
      <c r="H14" s="12"/>
    </row>
    <row r="15" spans="1:8" ht="15.75" customHeight="1">
      <c r="A15" s="27" t="s">
        <v>57</v>
      </c>
      <c r="B15" s="25"/>
      <c r="C15" s="25"/>
      <c r="D15" s="25"/>
      <c r="E15" s="25"/>
      <c r="F15" s="25"/>
      <c r="G15" s="25"/>
      <c r="H15" s="25"/>
    </row>
    <row r="16" spans="1:8" ht="15" customHeight="1">
      <c r="A16" s="4" t="s">
        <v>49</v>
      </c>
      <c r="B16" s="1">
        <f>COUNTIF(F10:F14,"高")</f>
        <v>0</v>
      </c>
      <c r="C16" s="4" t="s">
        <v>43</v>
      </c>
      <c r="D16" s="1">
        <f>COUNTIF(F10:F14,"中")</f>
        <v>0</v>
      </c>
      <c r="E16" s="4" t="s">
        <v>58</v>
      </c>
      <c r="F16" s="1">
        <f>COUNTIF(F10:F14,"低")</f>
        <v>0</v>
      </c>
    </row>
  </sheetData>
  <mergeCells count="6">
    <mergeCell ref="A15:H15"/>
    <mergeCell ref="A1:H1"/>
    <mergeCell ref="A4:H4"/>
    <mergeCell ref="A3:H3"/>
    <mergeCell ref="A2:H2"/>
    <mergeCell ref="A5:H5"/>
  </mergeCells>
  <phoneticPr fontId="14"/>
  <dataValidations count="1">
    <dataValidation type="list" allowBlank="1" sqref="F8:F14" xr:uid="{00000000-0002-0000-0100-000000000000}">
      <formula1>"高,中,低"</formula1>
      <formula2>0</formula2>
    </dataValidation>
  </dataValidations>
  <pageMargins left="0.25" right="0.25" top="0.75" bottom="0.75" header="0.3" footer="0.3"/>
  <pageSetup paperSize="9" scale="85" fitToHeight="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20"/>
  <sheetViews>
    <sheetView showGridLines="0" zoomScaleNormal="100" workbookViewId="0">
      <pane ySplit="6" topLeftCell="A10" activePane="bottomLeft" state="frozen"/>
      <selection pane="bottomLeft" activeCell="B5" sqref="B5"/>
    </sheetView>
  </sheetViews>
  <sheetFormatPr defaultColWidth="8.7109375" defaultRowHeight="15"/>
  <cols>
    <col min="1" max="1" width="40" customWidth="1"/>
    <col min="2" max="2" width="12" customWidth="1"/>
    <col min="3" max="3" width="26" customWidth="1"/>
    <col min="4" max="4" width="30" customWidth="1"/>
    <col min="5" max="6" width="14" customWidth="1"/>
  </cols>
  <sheetData>
    <row r="1" spans="1:6" ht="25.5" customHeight="1">
      <c r="A1" s="24" t="s">
        <v>59</v>
      </c>
      <c r="B1" s="25"/>
      <c r="C1" s="25"/>
      <c r="D1" s="25"/>
      <c r="E1" s="25"/>
      <c r="F1" s="25"/>
    </row>
    <row r="2" spans="1:6" ht="18" customHeight="1">
      <c r="A2" s="26" t="s">
        <v>60</v>
      </c>
      <c r="B2" s="25"/>
      <c r="C2" s="25"/>
      <c r="D2" s="25"/>
      <c r="E2" s="25"/>
      <c r="F2" s="25"/>
    </row>
    <row r="3" spans="1:6" ht="18" customHeight="1">
      <c r="A3" s="26" t="s">
        <v>61</v>
      </c>
      <c r="B3" s="25"/>
      <c r="C3" s="25"/>
      <c r="D3" s="25"/>
      <c r="E3" s="25"/>
      <c r="F3" s="25"/>
    </row>
    <row r="4" spans="1:6" ht="15.75" customHeight="1">
      <c r="A4" s="27" t="s">
        <v>62</v>
      </c>
      <c r="B4" s="25"/>
      <c r="C4" s="25"/>
      <c r="D4" s="25"/>
      <c r="E4" s="25"/>
      <c r="F4" s="25"/>
    </row>
    <row r="5" spans="1:6" ht="28.5">
      <c r="A5" s="5" t="s">
        <v>63</v>
      </c>
      <c r="B5" s="22" t="s">
        <v>197</v>
      </c>
      <c r="C5" s="5" t="s">
        <v>33</v>
      </c>
      <c r="D5" s="5" t="s">
        <v>64</v>
      </c>
      <c r="E5" s="5" t="s">
        <v>36</v>
      </c>
      <c r="F5" s="5" t="s">
        <v>37</v>
      </c>
    </row>
    <row r="6" spans="1:6" ht="30" customHeight="1">
      <c r="A6" s="7" t="s">
        <v>65</v>
      </c>
      <c r="B6" s="8" t="s">
        <v>66</v>
      </c>
      <c r="C6" s="7" t="s">
        <v>67</v>
      </c>
      <c r="D6" s="7" t="s">
        <v>68</v>
      </c>
      <c r="E6" s="7" t="s">
        <v>44</v>
      </c>
      <c r="F6" s="11">
        <v>46341</v>
      </c>
    </row>
    <row r="7" spans="1:6" ht="48" customHeight="1">
      <c r="A7" s="7" t="s">
        <v>69</v>
      </c>
      <c r="B7" s="8" t="s">
        <v>66</v>
      </c>
      <c r="C7" s="7" t="s">
        <v>70</v>
      </c>
      <c r="D7" s="7" t="s">
        <v>71</v>
      </c>
      <c r="E7" s="7" t="s">
        <v>50</v>
      </c>
      <c r="F7" s="11">
        <v>46356</v>
      </c>
    </row>
    <row r="8" spans="1:6" ht="48" customHeight="1">
      <c r="A8" s="7" t="s">
        <v>72</v>
      </c>
      <c r="B8" s="8" t="s">
        <v>73</v>
      </c>
      <c r="C8" s="7" t="s">
        <v>74</v>
      </c>
      <c r="D8" s="7" t="s">
        <v>75</v>
      </c>
      <c r="E8" s="7" t="s">
        <v>44</v>
      </c>
      <c r="F8" s="11">
        <v>46366</v>
      </c>
    </row>
    <row r="9" spans="1:6" ht="48" customHeight="1">
      <c r="A9" s="7" t="s">
        <v>76</v>
      </c>
      <c r="B9" s="8" t="s">
        <v>66</v>
      </c>
      <c r="C9" s="7" t="s">
        <v>77</v>
      </c>
      <c r="D9" s="7" t="s">
        <v>78</v>
      </c>
      <c r="E9" s="7" t="s">
        <v>44</v>
      </c>
      <c r="F9" s="11">
        <v>46376</v>
      </c>
    </row>
    <row r="10" spans="1:6" ht="25.5">
      <c r="A10" s="10" t="s">
        <v>79</v>
      </c>
      <c r="B10" s="9"/>
      <c r="C10" s="10"/>
      <c r="D10" s="10"/>
      <c r="E10" s="10"/>
      <c r="F10" s="12"/>
    </row>
    <row r="11" spans="1:6" ht="24" customHeight="1">
      <c r="A11" s="10" t="s">
        <v>80</v>
      </c>
      <c r="B11" s="9"/>
      <c r="C11" s="10"/>
      <c r="D11" s="10"/>
      <c r="E11" s="10"/>
      <c r="F11" s="12"/>
    </row>
    <row r="12" spans="1:6" ht="24" customHeight="1">
      <c r="A12" s="10" t="s">
        <v>81</v>
      </c>
      <c r="B12" s="9"/>
      <c r="C12" s="10"/>
      <c r="D12" s="10"/>
      <c r="E12" s="10"/>
      <c r="F12" s="12"/>
    </row>
    <row r="13" spans="1:6" ht="24" customHeight="1">
      <c r="A13" s="10" t="s">
        <v>82</v>
      </c>
      <c r="B13" s="9"/>
      <c r="C13" s="10"/>
      <c r="D13" s="10"/>
      <c r="E13" s="10"/>
      <c r="F13" s="12"/>
    </row>
    <row r="14" spans="1:6" ht="24" customHeight="1">
      <c r="A14" s="10" t="s">
        <v>83</v>
      </c>
      <c r="B14" s="9"/>
      <c r="C14" s="10"/>
      <c r="D14" s="10"/>
      <c r="E14" s="10"/>
      <c r="F14" s="12"/>
    </row>
    <row r="15" spans="1:6" ht="24" customHeight="1">
      <c r="A15" s="10" t="s">
        <v>84</v>
      </c>
      <c r="B15" s="9"/>
      <c r="C15" s="10"/>
      <c r="D15" s="10"/>
      <c r="E15" s="10"/>
      <c r="F15" s="12"/>
    </row>
    <row r="16" spans="1:6" ht="25.5">
      <c r="A16" s="10" t="s">
        <v>85</v>
      </c>
      <c r="B16" s="9"/>
      <c r="C16" s="10"/>
      <c r="D16" s="10"/>
      <c r="E16" s="10"/>
      <c r="F16" s="12"/>
    </row>
    <row r="17" spans="1:6" ht="24" customHeight="1">
      <c r="A17" s="10"/>
      <c r="B17" s="9"/>
      <c r="C17" s="10"/>
      <c r="D17" s="10"/>
      <c r="E17" s="10"/>
      <c r="F17" s="12"/>
    </row>
    <row r="19" spans="1:6" ht="15.75" customHeight="1">
      <c r="A19" s="27" t="s">
        <v>86</v>
      </c>
      <c r="B19" s="25"/>
      <c r="C19" s="25"/>
      <c r="D19" s="25"/>
      <c r="E19" s="25"/>
      <c r="F19" s="25"/>
    </row>
    <row r="20" spans="1:6" ht="15" customHeight="1">
      <c r="A20" s="2" t="s">
        <v>87</v>
      </c>
      <c r="B20" s="1">
        <f>COUNTIF(B10:B17,"○")</f>
        <v>0</v>
      </c>
      <c r="C20" s="2" t="s">
        <v>66</v>
      </c>
      <c r="D20" s="1">
        <f>COUNTIF(B10:B17,"△")</f>
        <v>0</v>
      </c>
      <c r="E20" s="2" t="s">
        <v>73</v>
      </c>
      <c r="F20" s="1">
        <f>COUNTIF(B10:B17,"×")</f>
        <v>0</v>
      </c>
    </row>
  </sheetData>
  <mergeCells count="5">
    <mergeCell ref="A2:F2"/>
    <mergeCell ref="A1:F1"/>
    <mergeCell ref="A4:F4"/>
    <mergeCell ref="A3:F3"/>
    <mergeCell ref="A19:F19"/>
  </mergeCells>
  <phoneticPr fontId="14"/>
  <dataValidations count="1">
    <dataValidation type="list" allowBlank="1" sqref="B10:B17" xr:uid="{00000000-0002-0000-0200-000000000000}">
      <formula1>"○,△,×"</formula1>
      <formula2>0</formula2>
    </dataValidation>
  </dataValidations>
  <pageMargins left="0.5" right="0.5" top="0.6" bottom="0.6" header="0.511811023622047" footer="0.511811023622047"/>
  <pageSetup paperSize="9" scale="96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19"/>
  <sheetViews>
    <sheetView zoomScaleNormal="100" workbookViewId="0">
      <pane ySplit="7" topLeftCell="A8" activePane="bottomLeft" state="frozen"/>
      <selection pane="bottomLeft" activeCell="C7" sqref="C7"/>
    </sheetView>
  </sheetViews>
  <sheetFormatPr defaultColWidth="8.7109375" defaultRowHeight="15"/>
  <cols>
    <col min="1" max="1" width="16" customWidth="1"/>
    <col min="2" max="2" width="26" customWidth="1"/>
    <col min="3" max="3" width="11" bestFit="1" customWidth="1"/>
    <col min="4" max="4" width="24" customWidth="1"/>
    <col min="5" max="5" width="26" customWidth="1"/>
    <col min="6" max="6" width="17.28515625" customWidth="1"/>
    <col min="7" max="7" width="26" customWidth="1"/>
    <col min="8" max="8" width="12.5703125" bestFit="1" customWidth="1"/>
    <col min="9" max="9" width="14" customWidth="1"/>
  </cols>
  <sheetData>
    <row r="1" spans="1:9" ht="25.5" customHeight="1">
      <c r="A1" s="24" t="s">
        <v>88</v>
      </c>
      <c r="B1" s="25"/>
      <c r="C1" s="25"/>
      <c r="D1" s="25"/>
      <c r="E1" s="25"/>
      <c r="F1" s="25"/>
      <c r="G1" s="25"/>
      <c r="H1" s="25"/>
      <c r="I1" s="25"/>
    </row>
    <row r="2" spans="1:9" ht="18" customHeight="1">
      <c r="A2" s="26" t="s">
        <v>89</v>
      </c>
      <c r="B2" s="25"/>
      <c r="C2" s="25"/>
      <c r="D2" s="25"/>
      <c r="E2" s="25"/>
      <c r="F2" s="25"/>
      <c r="G2" s="25"/>
      <c r="H2" s="25"/>
      <c r="I2" s="25"/>
    </row>
    <row r="3" spans="1:9" ht="18" customHeight="1">
      <c r="A3" s="26" t="s">
        <v>90</v>
      </c>
      <c r="B3" s="25"/>
      <c r="C3" s="25"/>
      <c r="D3" s="25"/>
      <c r="E3" s="25"/>
      <c r="F3" s="25"/>
      <c r="G3" s="25"/>
      <c r="H3" s="25"/>
      <c r="I3" s="25"/>
    </row>
    <row r="4" spans="1:9" ht="18" customHeight="1">
      <c r="A4" s="26" t="s">
        <v>91</v>
      </c>
      <c r="B4" s="25"/>
      <c r="C4" s="25"/>
      <c r="D4" s="25"/>
      <c r="E4" s="25"/>
      <c r="F4" s="25"/>
      <c r="G4" s="25"/>
      <c r="H4" s="25"/>
      <c r="I4" s="25"/>
    </row>
    <row r="5" spans="1:9" ht="15.75" customHeight="1">
      <c r="A5" s="27" t="s">
        <v>92</v>
      </c>
      <c r="B5" s="25"/>
      <c r="C5" s="25"/>
      <c r="D5" s="25"/>
      <c r="E5" s="25"/>
      <c r="F5" s="25"/>
      <c r="G5" s="25"/>
      <c r="H5" s="25"/>
      <c r="I5" s="25"/>
    </row>
    <row r="6" spans="1:9" ht="45.75" customHeight="1">
      <c r="A6" s="5" t="s">
        <v>93</v>
      </c>
      <c r="B6" s="5" t="s">
        <v>94</v>
      </c>
      <c r="C6" s="23" t="s">
        <v>198</v>
      </c>
      <c r="D6" s="5" t="s">
        <v>95</v>
      </c>
      <c r="E6" s="5" t="s">
        <v>96</v>
      </c>
      <c r="F6" s="6" t="s">
        <v>97</v>
      </c>
      <c r="G6" s="5" t="s">
        <v>98</v>
      </c>
      <c r="H6" s="5" t="s">
        <v>36</v>
      </c>
      <c r="I6" s="5" t="s">
        <v>99</v>
      </c>
    </row>
    <row r="7" spans="1:9" ht="30" customHeight="1">
      <c r="A7" s="7" t="s">
        <v>100</v>
      </c>
      <c r="B7" s="7" t="s">
        <v>101</v>
      </c>
      <c r="C7" s="8" t="s">
        <v>102</v>
      </c>
      <c r="D7" s="7" t="s">
        <v>103</v>
      </c>
      <c r="E7" s="7" t="s">
        <v>104</v>
      </c>
      <c r="F7" s="7" t="s">
        <v>105</v>
      </c>
      <c r="G7" s="8" t="s">
        <v>106</v>
      </c>
      <c r="H7" s="7" t="s">
        <v>107</v>
      </c>
      <c r="I7" s="11">
        <v>46357</v>
      </c>
    </row>
    <row r="8" spans="1:9" ht="48" customHeight="1">
      <c r="A8" s="7" t="s">
        <v>108</v>
      </c>
      <c r="B8" s="7" t="s">
        <v>109</v>
      </c>
      <c r="C8" s="8" t="s">
        <v>110</v>
      </c>
      <c r="D8" s="7" t="s">
        <v>111</v>
      </c>
      <c r="E8" s="7" t="s">
        <v>112</v>
      </c>
      <c r="F8" s="7" t="s">
        <v>113</v>
      </c>
      <c r="G8" s="8" t="s">
        <v>114</v>
      </c>
      <c r="H8" s="7" t="s">
        <v>107</v>
      </c>
      <c r="I8" s="11">
        <v>46371</v>
      </c>
    </row>
    <row r="9" spans="1:9" ht="48" customHeight="1">
      <c r="A9" s="7" t="s">
        <v>115</v>
      </c>
      <c r="B9" s="7" t="s">
        <v>116</v>
      </c>
      <c r="C9" s="8" t="s">
        <v>117</v>
      </c>
      <c r="D9" s="7" t="s">
        <v>118</v>
      </c>
      <c r="E9" s="7" t="s">
        <v>119</v>
      </c>
      <c r="F9" s="7" t="s">
        <v>120</v>
      </c>
      <c r="G9" s="8" t="s">
        <v>121</v>
      </c>
      <c r="H9" s="7" t="s">
        <v>122</v>
      </c>
      <c r="I9" s="11">
        <v>46397</v>
      </c>
    </row>
    <row r="10" spans="1:9" ht="24" customHeight="1">
      <c r="A10" s="10"/>
      <c r="B10" s="10"/>
      <c r="C10" s="10"/>
      <c r="D10" s="10"/>
      <c r="E10" s="10"/>
      <c r="F10" s="10"/>
      <c r="G10" s="10"/>
      <c r="H10" s="10"/>
      <c r="I10" s="12"/>
    </row>
    <row r="11" spans="1:9" ht="24" customHeight="1">
      <c r="A11" s="10"/>
      <c r="B11" s="10"/>
      <c r="C11" s="10"/>
      <c r="D11" s="10"/>
      <c r="E11" s="10"/>
      <c r="F11" s="10"/>
      <c r="G11" s="10"/>
      <c r="H11" s="10"/>
      <c r="I11" s="12"/>
    </row>
    <row r="12" spans="1:9" ht="24" customHeight="1">
      <c r="A12" s="10"/>
      <c r="B12" s="10"/>
      <c r="C12" s="10"/>
      <c r="D12" s="10"/>
      <c r="E12" s="10"/>
      <c r="F12" s="10"/>
      <c r="G12" s="10"/>
      <c r="H12" s="10"/>
      <c r="I12" s="12"/>
    </row>
    <row r="13" spans="1:9" ht="24" customHeight="1">
      <c r="A13" s="10"/>
      <c r="B13" s="10"/>
      <c r="C13" s="10"/>
      <c r="D13" s="10"/>
      <c r="E13" s="10"/>
      <c r="F13" s="10"/>
      <c r="G13" s="10"/>
      <c r="H13" s="10"/>
      <c r="I13" s="12"/>
    </row>
    <row r="14" spans="1:9" ht="24" customHeight="1">
      <c r="A14" s="10"/>
      <c r="B14" s="10"/>
      <c r="C14" s="10"/>
      <c r="D14" s="10"/>
      <c r="E14" s="10"/>
      <c r="F14" s="10"/>
      <c r="G14" s="10"/>
      <c r="H14" s="10"/>
      <c r="I14" s="12"/>
    </row>
    <row r="15" spans="1:9" ht="24" customHeight="1">
      <c r="A15" s="10"/>
      <c r="B15" s="10"/>
      <c r="C15" s="10"/>
      <c r="D15" s="10"/>
      <c r="E15" s="10"/>
      <c r="F15" s="10"/>
      <c r="G15" s="10"/>
      <c r="H15" s="10"/>
      <c r="I15" s="12"/>
    </row>
    <row r="16" spans="1:9" ht="24" customHeight="1">
      <c r="A16" s="10"/>
      <c r="B16" s="10"/>
      <c r="C16" s="10"/>
      <c r="D16" s="10"/>
      <c r="E16" s="10"/>
      <c r="F16" s="10"/>
      <c r="G16" s="10"/>
      <c r="H16" s="10"/>
      <c r="I16" s="12"/>
    </row>
    <row r="17" spans="1:9" ht="24" customHeight="1">
      <c r="A17" s="10"/>
      <c r="B17" s="10"/>
      <c r="C17" s="10"/>
      <c r="D17" s="10"/>
      <c r="E17" s="10"/>
      <c r="F17" s="10"/>
      <c r="G17" s="10"/>
      <c r="H17" s="10"/>
      <c r="I17" s="12"/>
    </row>
    <row r="18" spans="1:9" ht="24" customHeight="1">
      <c r="A18" s="10"/>
      <c r="B18" s="10"/>
      <c r="C18" s="10"/>
      <c r="D18" s="10"/>
      <c r="E18" s="10"/>
      <c r="F18" s="10"/>
      <c r="G18" s="10"/>
      <c r="H18" s="10"/>
      <c r="I18" s="12"/>
    </row>
    <row r="19" spans="1:9" ht="24" customHeight="1">
      <c r="A19" s="3"/>
      <c r="B19" s="3"/>
      <c r="C19" s="3"/>
      <c r="D19" s="3"/>
      <c r="E19" s="3"/>
      <c r="F19" s="3"/>
      <c r="G19" s="3"/>
      <c r="H19" s="3"/>
      <c r="I19" s="13"/>
    </row>
  </sheetData>
  <mergeCells count="5">
    <mergeCell ref="A2:I2"/>
    <mergeCell ref="A5:I5"/>
    <mergeCell ref="A1:I1"/>
    <mergeCell ref="A3:I3"/>
    <mergeCell ref="A4:I4"/>
  </mergeCells>
  <phoneticPr fontId="14"/>
  <pageMargins left="0.5" right="0.5" top="0.6" bottom="0.6" header="0.511811023622047" footer="0.511811023622047"/>
  <pageSetup paperSize="9" scale="80" fitToHeight="0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F21"/>
  <sheetViews>
    <sheetView showGridLines="0" zoomScaleNormal="100" workbookViewId="0">
      <pane ySplit="6" topLeftCell="A7" activePane="bottomLeft" state="frozen"/>
      <selection pane="bottomLeft" activeCell="B5" sqref="B5"/>
    </sheetView>
  </sheetViews>
  <sheetFormatPr defaultColWidth="8.7109375" defaultRowHeight="15"/>
  <cols>
    <col min="1" max="1" width="30" customWidth="1"/>
    <col min="2" max="2" width="12" customWidth="1"/>
    <col min="3" max="3" width="26" customWidth="1"/>
    <col min="4" max="4" width="30" customWidth="1"/>
    <col min="5" max="6" width="14" customWidth="1"/>
  </cols>
  <sheetData>
    <row r="1" spans="1:6" ht="25.5" customHeight="1">
      <c r="A1" s="24" t="s">
        <v>123</v>
      </c>
      <c r="B1" s="25"/>
      <c r="C1" s="25"/>
      <c r="D1" s="25"/>
      <c r="E1" s="25"/>
      <c r="F1" s="25"/>
    </row>
    <row r="2" spans="1:6" ht="18" customHeight="1">
      <c r="A2" s="28" t="s">
        <v>124</v>
      </c>
      <c r="B2" s="25"/>
      <c r="C2" s="25"/>
      <c r="D2" s="25"/>
      <c r="E2" s="25"/>
      <c r="F2" s="25"/>
    </row>
    <row r="3" spans="1:6" ht="18" customHeight="1">
      <c r="A3" s="26" t="s">
        <v>125</v>
      </c>
      <c r="B3" s="25"/>
      <c r="C3" s="25"/>
      <c r="D3" s="25"/>
      <c r="E3" s="25"/>
      <c r="F3" s="25"/>
    </row>
    <row r="4" spans="1:6" ht="15.75" customHeight="1">
      <c r="A4" s="27" t="s">
        <v>62</v>
      </c>
      <c r="B4" s="25"/>
      <c r="C4" s="25"/>
      <c r="D4" s="25"/>
      <c r="E4" s="25"/>
      <c r="F4" s="25"/>
    </row>
    <row r="5" spans="1:6" ht="28.5">
      <c r="A5" s="5" t="s">
        <v>63</v>
      </c>
      <c r="B5" s="22" t="s">
        <v>197</v>
      </c>
      <c r="C5" s="5" t="s">
        <v>33</v>
      </c>
      <c r="D5" s="5" t="s">
        <v>64</v>
      </c>
      <c r="E5" s="5" t="s">
        <v>36</v>
      </c>
      <c r="F5" s="5" t="s">
        <v>37</v>
      </c>
    </row>
    <row r="6" spans="1:6" ht="30" customHeight="1">
      <c r="A6" s="7" t="s">
        <v>126</v>
      </c>
      <c r="B6" s="14" t="s">
        <v>87</v>
      </c>
      <c r="C6" s="7" t="s">
        <v>127</v>
      </c>
      <c r="D6" s="7" t="s">
        <v>128</v>
      </c>
      <c r="E6" s="7" t="s">
        <v>129</v>
      </c>
      <c r="F6" s="11">
        <v>46295</v>
      </c>
    </row>
    <row r="7" spans="1:6" ht="25.5">
      <c r="A7" s="7" t="s">
        <v>130</v>
      </c>
      <c r="B7" s="14" t="s">
        <v>66</v>
      </c>
      <c r="C7" s="7" t="s">
        <v>131</v>
      </c>
      <c r="D7" s="7" t="s">
        <v>132</v>
      </c>
      <c r="E7" s="7" t="s">
        <v>133</v>
      </c>
      <c r="F7" s="11">
        <v>46341</v>
      </c>
    </row>
    <row r="8" spans="1:6" ht="29.25" customHeight="1">
      <c r="A8" s="7" t="s">
        <v>134</v>
      </c>
      <c r="B8" s="14" t="s">
        <v>87</v>
      </c>
      <c r="C8" s="7" t="s">
        <v>127</v>
      </c>
      <c r="D8" s="7" t="s">
        <v>135</v>
      </c>
      <c r="E8" s="7" t="s">
        <v>136</v>
      </c>
      <c r="F8" s="11">
        <v>46295</v>
      </c>
    </row>
    <row r="9" spans="1:6" ht="25.5">
      <c r="A9" s="7" t="s">
        <v>137</v>
      </c>
      <c r="B9" s="14" t="s">
        <v>73</v>
      </c>
      <c r="C9" s="7" t="s">
        <v>138</v>
      </c>
      <c r="D9" s="7" t="s">
        <v>139</v>
      </c>
      <c r="E9" s="7" t="s">
        <v>129</v>
      </c>
      <c r="F9" s="11">
        <v>46361</v>
      </c>
    </row>
    <row r="10" spans="1:6" ht="24" customHeight="1">
      <c r="A10" s="10" t="s">
        <v>140</v>
      </c>
      <c r="B10" s="15"/>
      <c r="C10" s="10"/>
      <c r="D10" s="10"/>
      <c r="E10" s="10"/>
      <c r="F10" s="12"/>
    </row>
    <row r="11" spans="1:6" ht="24" customHeight="1">
      <c r="A11" s="10" t="s">
        <v>141</v>
      </c>
      <c r="B11" s="15"/>
      <c r="C11" s="10"/>
      <c r="D11" s="10"/>
      <c r="E11" s="10"/>
      <c r="F11" s="12"/>
    </row>
    <row r="12" spans="1:6" ht="24" customHeight="1">
      <c r="A12" s="10" t="s">
        <v>142</v>
      </c>
      <c r="B12" s="15"/>
      <c r="C12" s="10"/>
      <c r="D12" s="10"/>
      <c r="E12" s="10"/>
      <c r="F12" s="12"/>
    </row>
    <row r="13" spans="1:6" ht="24" customHeight="1">
      <c r="A13" s="10" t="s">
        <v>143</v>
      </c>
      <c r="B13" s="15"/>
      <c r="C13" s="10"/>
      <c r="D13" s="10"/>
      <c r="E13" s="10"/>
      <c r="F13" s="12"/>
    </row>
    <row r="14" spans="1:6" ht="24" customHeight="1">
      <c r="A14" s="10" t="s">
        <v>144</v>
      </c>
      <c r="B14" s="15"/>
      <c r="C14" s="10"/>
      <c r="D14" s="10"/>
      <c r="E14" s="10"/>
      <c r="F14" s="12"/>
    </row>
    <row r="15" spans="1:6" ht="24" customHeight="1">
      <c r="A15" s="10" t="s">
        <v>145</v>
      </c>
      <c r="B15" s="15"/>
      <c r="C15" s="10"/>
      <c r="D15" s="10"/>
      <c r="E15" s="10"/>
      <c r="F15" s="12"/>
    </row>
    <row r="16" spans="1:6" ht="24" customHeight="1">
      <c r="A16" s="10" t="s">
        <v>146</v>
      </c>
      <c r="B16" s="15"/>
      <c r="C16" s="10"/>
      <c r="D16" s="10"/>
      <c r="E16" s="10"/>
      <c r="F16" s="12"/>
    </row>
    <row r="17" spans="1:6" ht="24" customHeight="1">
      <c r="A17" s="10" t="s">
        <v>147</v>
      </c>
      <c r="B17" s="15"/>
      <c r="C17" s="10"/>
      <c r="D17" s="10"/>
      <c r="E17" s="10"/>
      <c r="F17" s="12"/>
    </row>
    <row r="18" spans="1:6" ht="24" customHeight="1">
      <c r="A18" s="10"/>
      <c r="B18" s="15"/>
      <c r="C18" s="10"/>
      <c r="D18" s="10"/>
      <c r="E18" s="10"/>
      <c r="F18" s="12"/>
    </row>
    <row r="20" spans="1:6" ht="15.75" customHeight="1">
      <c r="A20" s="27" t="s">
        <v>86</v>
      </c>
      <c r="B20" s="25"/>
      <c r="C20" s="25"/>
      <c r="D20" s="25"/>
      <c r="E20" s="25"/>
      <c r="F20" s="25"/>
    </row>
    <row r="21" spans="1:6" ht="15" customHeight="1">
      <c r="A21" s="2" t="s">
        <v>87</v>
      </c>
      <c r="B21" s="1">
        <f>COUNTIF(B10:B18,"○")</f>
        <v>0</v>
      </c>
      <c r="C21" s="2" t="s">
        <v>66</v>
      </c>
      <c r="D21" s="1">
        <f>COUNTIF(B10:B18,"△")</f>
        <v>0</v>
      </c>
      <c r="E21" s="2" t="s">
        <v>73</v>
      </c>
      <c r="F21" s="1">
        <f>COUNTIF(B10:B18,"×")</f>
        <v>0</v>
      </c>
    </row>
  </sheetData>
  <mergeCells count="5">
    <mergeCell ref="A2:F2"/>
    <mergeCell ref="A1:F1"/>
    <mergeCell ref="A20:F20"/>
    <mergeCell ref="A4:F4"/>
    <mergeCell ref="A3:F3"/>
  </mergeCells>
  <phoneticPr fontId="14"/>
  <dataValidations count="1">
    <dataValidation type="list" allowBlank="1" sqref="B10:B18" xr:uid="{00000000-0002-0000-0400-000000000000}">
      <formula1>"○,△,×"</formula1>
      <formula2>0</formula2>
    </dataValidation>
  </dataValidations>
  <pageMargins left="0.5" right="0.5" top="0.6" bottom="0.6" header="0.511811023622047" footer="0.511811023622047"/>
  <pageSetup paperSize="9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H14"/>
  <sheetViews>
    <sheetView showGridLines="0" zoomScaleNormal="100" workbookViewId="0">
      <pane ySplit="6" topLeftCell="A7" activePane="bottomLeft" state="frozen"/>
      <selection pane="bottomLeft" activeCell="A6" sqref="A6"/>
    </sheetView>
  </sheetViews>
  <sheetFormatPr defaultColWidth="8.7109375" defaultRowHeight="15"/>
  <cols>
    <col min="1" max="1" width="24" customWidth="1"/>
    <col min="2" max="2" width="22" customWidth="1"/>
    <col min="3" max="4" width="26" customWidth="1"/>
    <col min="5" max="5" width="22" customWidth="1"/>
    <col min="6" max="6" width="24" customWidth="1"/>
    <col min="7" max="8" width="14" customWidth="1"/>
  </cols>
  <sheetData>
    <row r="1" spans="1:8" ht="25.5" customHeight="1">
      <c r="A1" s="24" t="s">
        <v>148</v>
      </c>
      <c r="B1" s="25"/>
      <c r="C1" s="25"/>
      <c r="D1" s="25"/>
      <c r="E1" s="25"/>
      <c r="F1" s="25"/>
      <c r="G1" s="25"/>
      <c r="H1" s="25"/>
    </row>
    <row r="2" spans="1:8" ht="18" customHeight="1">
      <c r="A2" s="28" t="s">
        <v>149</v>
      </c>
      <c r="B2" s="25"/>
      <c r="C2" s="25"/>
      <c r="D2" s="25"/>
      <c r="E2" s="25"/>
      <c r="F2" s="25"/>
      <c r="G2" s="25"/>
      <c r="H2" s="25"/>
    </row>
    <row r="3" spans="1:8" ht="18" customHeight="1">
      <c r="A3" s="28" t="s">
        <v>150</v>
      </c>
      <c r="B3" s="25"/>
      <c r="C3" s="25"/>
      <c r="D3" s="25"/>
      <c r="E3" s="25"/>
      <c r="F3" s="25"/>
      <c r="G3" s="25"/>
      <c r="H3" s="25"/>
    </row>
    <row r="4" spans="1:8" ht="15.75" customHeight="1">
      <c r="A4" s="27" t="s">
        <v>151</v>
      </c>
      <c r="B4" s="25"/>
      <c r="C4" s="25"/>
      <c r="D4" s="25"/>
      <c r="E4" s="25"/>
      <c r="F4" s="25"/>
      <c r="G4" s="25"/>
      <c r="H4" s="25"/>
    </row>
    <row r="5" spans="1:8" ht="45.75" customHeight="1">
      <c r="A5" s="6" t="s">
        <v>152</v>
      </c>
      <c r="B5" s="5" t="s">
        <v>153</v>
      </c>
      <c r="C5" s="6" t="s">
        <v>154</v>
      </c>
      <c r="D5" s="5" t="s">
        <v>155</v>
      </c>
      <c r="E5" s="5" t="s">
        <v>156</v>
      </c>
      <c r="F5" s="5" t="s">
        <v>157</v>
      </c>
      <c r="G5" s="5" t="s">
        <v>36</v>
      </c>
      <c r="H5" s="5" t="s">
        <v>99</v>
      </c>
    </row>
    <row r="6" spans="1:8" ht="38.25">
      <c r="A6" s="7" t="s">
        <v>158</v>
      </c>
      <c r="B6" s="7" t="s">
        <v>159</v>
      </c>
      <c r="C6" s="7" t="s">
        <v>160</v>
      </c>
      <c r="D6" s="7" t="s">
        <v>161</v>
      </c>
      <c r="E6" s="7" t="s">
        <v>162</v>
      </c>
      <c r="F6" s="7" t="s">
        <v>163</v>
      </c>
      <c r="G6" s="7" t="s">
        <v>164</v>
      </c>
      <c r="H6" s="11">
        <v>46371</v>
      </c>
    </row>
    <row r="7" spans="1:8" ht="38.25">
      <c r="A7" s="7" t="s">
        <v>165</v>
      </c>
      <c r="B7" s="7" t="s">
        <v>166</v>
      </c>
      <c r="C7" s="7" t="s">
        <v>167</v>
      </c>
      <c r="D7" s="7" t="s">
        <v>168</v>
      </c>
      <c r="E7" s="7" t="s">
        <v>169</v>
      </c>
      <c r="F7" s="7" t="s">
        <v>170</v>
      </c>
      <c r="G7" s="7" t="s">
        <v>129</v>
      </c>
      <c r="H7" s="11">
        <v>46407</v>
      </c>
    </row>
    <row r="8" spans="1:8" ht="48" customHeight="1">
      <c r="A8" s="7" t="s">
        <v>171</v>
      </c>
      <c r="B8" s="7" t="s">
        <v>172</v>
      </c>
      <c r="C8" s="7" t="s">
        <v>173</v>
      </c>
      <c r="D8" s="7" t="s">
        <v>174</v>
      </c>
      <c r="E8" s="7" t="s">
        <v>175</v>
      </c>
      <c r="F8" s="7" t="s">
        <v>176</v>
      </c>
      <c r="G8" s="7" t="s">
        <v>129</v>
      </c>
      <c r="H8" s="11">
        <v>46419</v>
      </c>
    </row>
    <row r="9" spans="1:8" ht="24" customHeight="1">
      <c r="A9" s="10"/>
      <c r="B9" s="10"/>
      <c r="C9" s="10"/>
      <c r="D9" s="10"/>
      <c r="E9" s="10"/>
      <c r="F9" s="10"/>
      <c r="G9" s="10"/>
      <c r="H9" s="12"/>
    </row>
    <row r="10" spans="1:8" ht="24" customHeight="1">
      <c r="A10" s="10"/>
      <c r="B10" s="10"/>
      <c r="C10" s="10"/>
      <c r="D10" s="10"/>
      <c r="E10" s="10"/>
      <c r="F10" s="10"/>
      <c r="G10" s="10"/>
      <c r="H10" s="12"/>
    </row>
    <row r="11" spans="1:8" ht="24" customHeight="1">
      <c r="A11" s="10"/>
      <c r="B11" s="10"/>
      <c r="C11" s="10"/>
      <c r="D11" s="10"/>
      <c r="E11" s="10"/>
      <c r="F11" s="10"/>
      <c r="G11" s="10"/>
      <c r="H11" s="12"/>
    </row>
    <row r="12" spans="1:8" ht="24" customHeight="1">
      <c r="A12" s="10"/>
      <c r="B12" s="10"/>
      <c r="C12" s="10"/>
      <c r="D12" s="10"/>
      <c r="E12" s="10"/>
      <c r="F12" s="10"/>
      <c r="G12" s="10"/>
      <c r="H12" s="12"/>
    </row>
    <row r="13" spans="1:8" ht="24" customHeight="1">
      <c r="A13" s="10"/>
      <c r="B13" s="10"/>
      <c r="C13" s="10"/>
      <c r="D13" s="10"/>
      <c r="E13" s="10"/>
      <c r="F13" s="10"/>
      <c r="G13" s="10"/>
      <c r="H13" s="12"/>
    </row>
    <row r="14" spans="1:8" ht="24" customHeight="1">
      <c r="A14" s="10"/>
      <c r="B14" s="10"/>
      <c r="C14" s="10"/>
      <c r="D14" s="10"/>
      <c r="E14" s="10"/>
      <c r="F14" s="10"/>
      <c r="G14" s="10"/>
      <c r="H14" s="12"/>
    </row>
  </sheetData>
  <mergeCells count="4">
    <mergeCell ref="A4:H4"/>
    <mergeCell ref="A3:H3"/>
    <mergeCell ref="A2:H2"/>
    <mergeCell ref="A1:H1"/>
  </mergeCells>
  <phoneticPr fontId="14"/>
  <pageMargins left="0.5" right="0.5" top="0.6" bottom="0.6" header="0.511811023622047" footer="0.511811023622047"/>
  <pageSetup paperSize="9" scale="80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23"/>
  <sheetViews>
    <sheetView showGridLines="0" zoomScaleNormal="100" workbookViewId="0">
      <pane ySplit="6" topLeftCell="A7" activePane="bottomLeft" state="frozen"/>
      <selection pane="bottomLeft" activeCell="A10" sqref="A10"/>
    </sheetView>
  </sheetViews>
  <sheetFormatPr defaultColWidth="8.7109375" defaultRowHeight="15"/>
  <cols>
    <col min="1" max="1" width="26" customWidth="1"/>
    <col min="2" max="2" width="12" customWidth="1"/>
    <col min="3" max="3" width="24" customWidth="1"/>
    <col min="4" max="4" width="28" customWidth="1"/>
    <col min="5" max="7" width="14" customWidth="1"/>
    <col min="8" max="8" width="16" customWidth="1"/>
  </cols>
  <sheetData>
    <row r="1" spans="1:8" ht="25.5" customHeight="1">
      <c r="A1" s="24" t="s">
        <v>177</v>
      </c>
      <c r="B1" s="25"/>
      <c r="C1" s="25"/>
      <c r="D1" s="25"/>
      <c r="E1" s="25"/>
      <c r="F1" s="25"/>
      <c r="G1" s="25"/>
      <c r="H1" s="25"/>
    </row>
    <row r="2" spans="1:8" ht="18" customHeight="1">
      <c r="A2" s="26" t="s">
        <v>178</v>
      </c>
      <c r="B2" s="25"/>
      <c r="C2" s="25"/>
      <c r="D2" s="25"/>
      <c r="E2" s="25"/>
      <c r="F2" s="25"/>
      <c r="G2" s="25"/>
      <c r="H2" s="25"/>
    </row>
    <row r="3" spans="1:8" ht="18" customHeight="1">
      <c r="A3" s="26" t="s">
        <v>179</v>
      </c>
      <c r="B3" s="25"/>
      <c r="C3" s="25"/>
      <c r="D3" s="25"/>
      <c r="E3" s="25"/>
      <c r="F3" s="25"/>
      <c r="G3" s="25"/>
      <c r="H3" s="25"/>
    </row>
    <row r="4" spans="1:8" ht="15.75" customHeight="1">
      <c r="A4" s="27" t="s">
        <v>180</v>
      </c>
      <c r="B4" s="25"/>
      <c r="C4" s="25"/>
      <c r="D4" s="25"/>
      <c r="E4" s="25"/>
      <c r="F4" s="25"/>
      <c r="G4" s="25"/>
      <c r="H4" s="25"/>
    </row>
    <row r="5" spans="1:8" ht="45.75" customHeight="1">
      <c r="A5" s="5" t="s">
        <v>181</v>
      </c>
      <c r="B5" s="22" t="s">
        <v>197</v>
      </c>
      <c r="C5" s="5" t="s">
        <v>33</v>
      </c>
      <c r="D5" s="5" t="s">
        <v>34</v>
      </c>
      <c r="E5" s="5" t="s">
        <v>35</v>
      </c>
      <c r="F5" s="5" t="s">
        <v>36</v>
      </c>
      <c r="G5" s="5" t="s">
        <v>37</v>
      </c>
      <c r="H5" s="5" t="s">
        <v>182</v>
      </c>
    </row>
    <row r="6" spans="1:8" ht="28.5" customHeight="1">
      <c r="A6" s="7" t="s">
        <v>183</v>
      </c>
      <c r="B6" s="8" t="s">
        <v>66</v>
      </c>
      <c r="C6" s="7" t="s">
        <v>184</v>
      </c>
      <c r="D6" s="7" t="s">
        <v>185</v>
      </c>
      <c r="E6" s="7" t="s">
        <v>43</v>
      </c>
      <c r="F6" s="7" t="s">
        <v>129</v>
      </c>
      <c r="G6" s="11">
        <v>46326</v>
      </c>
      <c r="H6" s="7" t="s">
        <v>186</v>
      </c>
    </row>
    <row r="7" spans="1:8" ht="32.25" customHeight="1">
      <c r="A7" s="7" t="s">
        <v>187</v>
      </c>
      <c r="B7" s="8" t="s">
        <v>66</v>
      </c>
      <c r="C7" s="7" t="s">
        <v>188</v>
      </c>
      <c r="D7" s="7" t="s">
        <v>189</v>
      </c>
      <c r="E7" s="7" t="s">
        <v>49</v>
      </c>
      <c r="F7" s="7" t="s">
        <v>129</v>
      </c>
      <c r="G7" s="11">
        <v>46366</v>
      </c>
      <c r="H7" s="7" t="s">
        <v>186</v>
      </c>
    </row>
    <row r="8" spans="1:8" ht="30.75" customHeight="1">
      <c r="A8" s="7" t="s">
        <v>190</v>
      </c>
      <c r="B8" s="8" t="s">
        <v>73</v>
      </c>
      <c r="C8" s="7" t="s">
        <v>191</v>
      </c>
      <c r="D8" s="7" t="s">
        <v>192</v>
      </c>
      <c r="E8" s="7" t="s">
        <v>49</v>
      </c>
      <c r="F8" s="7" t="s">
        <v>129</v>
      </c>
      <c r="G8" s="11">
        <v>46361</v>
      </c>
      <c r="H8" s="7" t="s">
        <v>193</v>
      </c>
    </row>
    <row r="9" spans="1:8" ht="24" customHeight="1">
      <c r="A9" s="10"/>
      <c r="B9" s="9"/>
      <c r="C9" s="10"/>
      <c r="D9" s="10"/>
      <c r="E9" s="9"/>
      <c r="F9" s="10"/>
      <c r="G9" s="12"/>
      <c r="H9" s="9"/>
    </row>
    <row r="10" spans="1:8" ht="24" customHeight="1">
      <c r="A10" s="10"/>
      <c r="B10" s="9"/>
      <c r="C10" s="10"/>
      <c r="D10" s="10"/>
      <c r="E10" s="9"/>
      <c r="F10" s="10"/>
      <c r="G10" s="12"/>
      <c r="H10" s="9"/>
    </row>
    <row r="11" spans="1:8" ht="24" customHeight="1">
      <c r="A11" s="10"/>
      <c r="B11" s="9"/>
      <c r="C11" s="10"/>
      <c r="D11" s="10"/>
      <c r="E11" s="9"/>
      <c r="F11" s="10"/>
      <c r="G11" s="12"/>
      <c r="H11" s="9"/>
    </row>
    <row r="12" spans="1:8" ht="24" customHeight="1">
      <c r="A12" s="10"/>
      <c r="B12" s="9"/>
      <c r="C12" s="10"/>
      <c r="D12" s="10"/>
      <c r="E12" s="9"/>
      <c r="F12" s="10"/>
      <c r="G12" s="12"/>
      <c r="H12" s="9"/>
    </row>
    <row r="13" spans="1:8" ht="24" customHeight="1">
      <c r="A13" s="10"/>
      <c r="B13" s="9"/>
      <c r="C13" s="10"/>
      <c r="D13" s="10"/>
      <c r="E13" s="9"/>
      <c r="F13" s="10"/>
      <c r="G13" s="12"/>
      <c r="H13" s="9"/>
    </row>
    <row r="14" spans="1:8" ht="24" customHeight="1">
      <c r="A14" s="10"/>
      <c r="B14" s="9"/>
      <c r="C14" s="10"/>
      <c r="D14" s="10"/>
      <c r="E14" s="9"/>
      <c r="F14" s="10"/>
      <c r="G14" s="12"/>
      <c r="H14" s="9"/>
    </row>
    <row r="15" spans="1:8" ht="24" customHeight="1">
      <c r="A15" s="10"/>
      <c r="B15" s="9"/>
      <c r="C15" s="10"/>
      <c r="D15" s="10"/>
      <c r="E15" s="9"/>
      <c r="F15" s="10"/>
      <c r="G15" s="12"/>
      <c r="H15" s="9"/>
    </row>
    <row r="16" spans="1:8" ht="24" customHeight="1">
      <c r="A16" s="10"/>
      <c r="B16" s="9"/>
      <c r="C16" s="10"/>
      <c r="D16" s="10"/>
      <c r="E16" s="9"/>
      <c r="F16" s="10"/>
      <c r="G16" s="12"/>
      <c r="H16" s="9"/>
    </row>
    <row r="17" spans="1:8" ht="24" customHeight="1">
      <c r="A17" s="10"/>
      <c r="B17" s="9"/>
      <c r="C17" s="10"/>
      <c r="D17" s="10"/>
      <c r="E17" s="9"/>
      <c r="F17" s="10"/>
      <c r="G17" s="12"/>
      <c r="H17" s="9"/>
    </row>
    <row r="19" spans="1:8" ht="15.75" customHeight="1">
      <c r="A19" s="27" t="s">
        <v>194</v>
      </c>
      <c r="B19" s="25"/>
      <c r="C19" s="25"/>
      <c r="D19" s="25"/>
      <c r="E19" s="25"/>
      <c r="F19" s="25"/>
      <c r="G19" s="25"/>
      <c r="H19" s="25"/>
    </row>
    <row r="20" spans="1:8" ht="15" customHeight="1">
      <c r="A20" s="4" t="s">
        <v>193</v>
      </c>
      <c r="B20" s="1">
        <f>COUNTIF(H9:H17,"未着手")</f>
        <v>0</v>
      </c>
      <c r="C20" s="4" t="s">
        <v>186</v>
      </c>
      <c r="D20" s="1">
        <f>COUNTIF(H9:H17,"進行中")</f>
        <v>0</v>
      </c>
      <c r="E20" s="4" t="s">
        <v>195</v>
      </c>
      <c r="F20" s="1">
        <f>COUNTIF(H9:H17,"完了")</f>
        <v>0</v>
      </c>
    </row>
    <row r="22" spans="1:8" ht="15.75" customHeight="1">
      <c r="A22" s="27" t="s">
        <v>196</v>
      </c>
      <c r="B22" s="25"/>
      <c r="C22" s="25"/>
      <c r="D22" s="25"/>
      <c r="E22" s="25"/>
      <c r="F22" s="25"/>
      <c r="G22" s="25"/>
      <c r="H22" s="25"/>
    </row>
    <row r="23" spans="1:8" ht="15" customHeight="1">
      <c r="A23" s="4" t="s">
        <v>49</v>
      </c>
      <c r="B23" s="1">
        <f>COUNTIF(E9:E17,"高")</f>
        <v>0</v>
      </c>
      <c r="C23" s="4" t="s">
        <v>43</v>
      </c>
      <c r="D23" s="1">
        <f>COUNTIF(E9:E17,"中")</f>
        <v>0</v>
      </c>
      <c r="E23" s="4" t="s">
        <v>58</v>
      </c>
      <c r="F23" s="1">
        <f>COUNTIF(E9:E17,"低")</f>
        <v>0</v>
      </c>
    </row>
  </sheetData>
  <mergeCells count="6">
    <mergeCell ref="A4:H4"/>
    <mergeCell ref="A3:H3"/>
    <mergeCell ref="A22:H22"/>
    <mergeCell ref="A2:H2"/>
    <mergeCell ref="A1:H1"/>
    <mergeCell ref="A19:H19"/>
  </mergeCells>
  <phoneticPr fontId="14"/>
  <dataValidations count="3">
    <dataValidation type="list" allowBlank="1" sqref="B7:B17" xr:uid="{00000000-0002-0000-0600-000000000000}">
      <formula1>"○,△,×"</formula1>
      <formula2>0</formula2>
    </dataValidation>
    <dataValidation type="list" allowBlank="1" sqref="E7:E17" xr:uid="{00000000-0002-0000-0600-000001000000}">
      <formula1>"高,中,低"</formula1>
      <formula2>0</formula2>
    </dataValidation>
    <dataValidation type="list" allowBlank="1" sqref="H7:H17" xr:uid="{00000000-0002-0000-0600-000002000000}">
      <formula1>"未着手,進行中,完了"</formula1>
      <formula2>0</formula2>
    </dataValidation>
  </dataValidations>
  <pageMargins left="0.5" right="0.5" top="0.6" bottom="0.6" header="0.511811023622047" footer="0.511811023622047"/>
  <pageSetup paperSize="9" scale="93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7</vt:i4>
      </vt:variant>
    </vt:vector>
  </HeadingPairs>
  <TitlesOfParts>
    <vt:vector size="14" baseType="lpstr">
      <vt:lpstr>目次</vt:lpstr>
      <vt:lpstr>4.1_PRP棚卸し</vt:lpstr>
      <vt:lpstr>4.2_食品安全文化</vt:lpstr>
      <vt:lpstr>4.3_食品ロスKPI</vt:lpstr>
      <vt:lpstr>4.4_表示管理</vt:lpstr>
      <vt:lpstr>4.5_AI利用リスク評価</vt:lpstr>
      <vt:lpstr>4.6_総合ギャップ分析</vt:lpstr>
      <vt:lpstr>'4.1_PRP棚卸し'!Print_Titles</vt:lpstr>
      <vt:lpstr>'4.2_食品安全文化'!Print_Titles</vt:lpstr>
      <vt:lpstr>'4.3_食品ロスKPI'!Print_Titles</vt:lpstr>
      <vt:lpstr>'4.4_表示管理'!Print_Titles</vt:lpstr>
      <vt:lpstr>'4.5_AI利用リスク評価'!Print_Titles</vt:lpstr>
      <vt:lpstr>'4.6_総合ギャップ分析'!Print_Titles</vt:lpstr>
      <vt:lpstr>目次!Print_Titles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椎名宗一郎</dc:creator>
  <cp:lastModifiedBy>直樹 今</cp:lastModifiedBy>
  <cp:revision>0</cp:revision>
  <cp:lastPrinted>2026-09-04T05:57:41Z</cp:lastPrinted>
  <dcterms:created xsi:type="dcterms:W3CDTF">2026-08-31T03:12:22Z</dcterms:created>
  <dcterms:modified xsi:type="dcterms:W3CDTF">2026-09-04T06:12:20Z</dcterms:modified>
  <dc:language>en-US</dc:language>
</cp:coreProperties>
</file>