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58ec801adaeb66fd/●TheStart/実務偏/"/>
    </mc:Choice>
  </mc:AlternateContent>
  <xr:revisionPtr revIDLastSave="48" documentId="13_ncr:1_{CA7FB4BF-9FA7-4B3D-83A7-5949BCFB22CE}" xr6:coauthVersionLast="47" xr6:coauthVersionMax="47" xr10:uidLastSave="{74303B21-5020-434D-A994-DDB976C70A63}"/>
  <bookViews>
    <workbookView xWindow="-120" yWindow="-120" windowWidth="29040" windowHeight="15720" tabRatio="500" xr2:uid="{00000000-000D-0000-FFFF-FFFF00000000}"/>
  </bookViews>
  <sheets>
    <sheet name="目次" sheetId="1" r:id="rId1"/>
    <sheet name="4.1_PRP棚卸し" sheetId="2" r:id="rId2"/>
    <sheet name="4.2_食品安全文化" sheetId="3" r:id="rId3"/>
    <sheet name="4.3_食品ロスKPI" sheetId="4" r:id="rId4"/>
    <sheet name="4.4_表示管理" sheetId="5" r:id="rId5"/>
    <sheet name="4.5_AI利用リスク評価" sheetId="6" r:id="rId6"/>
    <sheet name="4.6_総合ギャップ分析" sheetId="7" r:id="rId7"/>
  </sheets>
  <definedNames>
    <definedName name="_xlnm.Print_Titles" localSheetId="1">'4.1_PRP棚卸し'!$6:$6</definedName>
    <definedName name="_xlnm.Print_Titles" localSheetId="2">'4.2_食品安全文化'!$5:$5</definedName>
    <definedName name="_xlnm.Print_Titles" localSheetId="3">'4.3_食品ロスKPI'!$6:$6</definedName>
    <definedName name="_xlnm.Print_Titles" localSheetId="4">'4.4_表示管理'!$5:$5</definedName>
    <definedName name="_xlnm.Print_Titles" localSheetId="5">'4.5_AI利用リスク評価'!$5:$5</definedName>
    <definedName name="_xlnm.Print_Titles" localSheetId="6">'4.6_総合ギャップ分析'!$5:$5</definedName>
    <definedName name="_xlnm.Print_Titles" localSheetId="0">目次!$4:$4</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6" i="7" l="1"/>
  <c r="D26" i="7"/>
  <c r="B26" i="7"/>
  <c r="F23" i="7"/>
  <c r="D23" i="7"/>
  <c r="B23" i="7"/>
  <c r="F20" i="5"/>
  <c r="D20" i="5"/>
  <c r="B20" i="5"/>
  <c r="F19" i="3"/>
  <c r="D19" i="3"/>
  <c r="B19" i="3"/>
  <c r="F24" i="2"/>
  <c r="D24" i="2"/>
  <c r="B24" i="2"/>
</calcChain>
</file>

<file path=xl/sharedStrings.xml><?xml version="1.0" encoding="utf-8"?>
<sst xmlns="http://schemas.openxmlformats.org/spreadsheetml/2006/main" count="177" uniqueCount="139">
  <si>
    <r>
      <rPr>
        <b/>
        <sz val="14"/>
        <color rgb="FF000000"/>
        <rFont val="游ゴシック"/>
        <family val="3"/>
        <charset val="128"/>
      </rPr>
      <t>FSSC22000 V7</t>
    </r>
    <r>
      <rPr>
        <b/>
        <sz val="14"/>
        <color rgb="FF000000"/>
        <rFont val="Noto Sans CJK SC"/>
        <family val="2"/>
      </rPr>
      <t>移行ギャップ分析テンプレート集</t>
    </r>
  </si>
  <si>
    <r>
      <rPr>
        <sz val="10"/>
        <color rgb="FF000000"/>
        <rFont val="Noto Sans CJK SC"/>
        <family val="2"/>
      </rPr>
      <t>第</t>
    </r>
    <r>
      <rPr>
        <sz val="10"/>
        <color rgb="FF000000"/>
        <rFont val="游ゴシック"/>
        <family val="3"/>
        <charset val="128"/>
      </rPr>
      <t>4</t>
    </r>
    <r>
      <rPr>
        <sz val="10"/>
        <color rgb="FF000000"/>
        <rFont val="Noto Sans CJK SC"/>
        <family val="2"/>
      </rPr>
      <t>章「ギャップ分析テンプレート」に対応するワークシート集です。各シートの入力欄にご記入ください。プルダウンが設定されている列は、セルをクリックして選択できます。</t>
    </r>
  </si>
  <si>
    <t>No.</t>
  </si>
  <si>
    <t>シート名</t>
  </si>
  <si>
    <t>内容</t>
  </si>
  <si>
    <t>リンク</t>
  </si>
  <si>
    <t>4.1</t>
  </si>
  <si>
    <r>
      <rPr>
        <sz val="10"/>
        <rFont val="游ゴシック"/>
        <family val="3"/>
        <charset val="128"/>
      </rPr>
      <t>4.1_PRP</t>
    </r>
    <r>
      <rPr>
        <sz val="10"/>
        <rFont val="Noto Sans CJK SC"/>
        <family val="2"/>
      </rPr>
      <t>棚卸し</t>
    </r>
  </si>
  <si>
    <r>
      <rPr>
        <sz val="10"/>
        <rFont val="游ゴシック"/>
        <family val="3"/>
        <charset val="128"/>
      </rPr>
      <t>PRP</t>
    </r>
    <r>
      <rPr>
        <sz val="10"/>
        <rFont val="Noto Sans CJK SC"/>
        <family val="2"/>
      </rPr>
      <t>文書の棚卸しと</t>
    </r>
    <r>
      <rPr>
        <sz val="10"/>
        <rFont val="游ゴシック"/>
        <family val="3"/>
        <charset val="128"/>
      </rPr>
      <t>V7</t>
    </r>
    <r>
      <rPr>
        <sz val="10"/>
        <rFont val="Noto Sans CJK SC"/>
        <family val="2"/>
      </rPr>
      <t>要求事項（</t>
    </r>
    <r>
      <rPr>
        <sz val="10"/>
        <rFont val="游ゴシック"/>
        <family val="3"/>
        <charset val="128"/>
      </rPr>
      <t>ISO22002-100</t>
    </r>
    <r>
      <rPr>
        <sz val="10"/>
        <rFont val="Noto Sans CJK SC"/>
        <family val="2"/>
      </rPr>
      <t>）との整合性確認</t>
    </r>
  </si>
  <si>
    <t>開く</t>
  </si>
  <si>
    <t>4.2</t>
  </si>
  <si>
    <r>
      <rPr>
        <sz val="10"/>
        <rFont val="游ゴシック"/>
        <family val="3"/>
        <charset val="128"/>
      </rPr>
      <t>4.2_</t>
    </r>
    <r>
      <rPr>
        <sz val="10"/>
        <rFont val="Noto Sans CJK SC"/>
        <family val="2"/>
      </rPr>
      <t>食品安全文化</t>
    </r>
  </si>
  <si>
    <t>食品安全文化が行動として根付いていることを示す証拠の確認</t>
  </si>
  <si>
    <t>4.3</t>
  </si>
  <si>
    <r>
      <rPr>
        <sz val="10"/>
        <rFont val="游ゴシック"/>
        <family val="3"/>
        <charset val="128"/>
      </rPr>
      <t>4.3_</t>
    </r>
    <r>
      <rPr>
        <sz val="10"/>
        <rFont val="Noto Sans CJK SC"/>
        <family val="2"/>
      </rPr>
      <t>食品ロス</t>
    </r>
    <r>
      <rPr>
        <sz val="10"/>
        <rFont val="游ゴシック"/>
        <family val="3"/>
        <charset val="128"/>
      </rPr>
      <t>KPI</t>
    </r>
  </si>
  <si>
    <r>
      <rPr>
        <sz val="10"/>
        <rFont val="Noto Sans CJK SC"/>
        <family val="2"/>
      </rPr>
      <t>工程別の食品ロス測定と</t>
    </r>
    <r>
      <rPr>
        <sz val="10"/>
        <rFont val="游ゴシック"/>
        <family val="3"/>
        <charset val="128"/>
      </rPr>
      <t>KPI</t>
    </r>
    <r>
      <rPr>
        <sz val="10"/>
        <rFont val="Noto Sans CJK SC"/>
        <family val="2"/>
      </rPr>
      <t>設定</t>
    </r>
  </si>
  <si>
    <t>4.4</t>
  </si>
  <si>
    <r>
      <rPr>
        <sz val="10"/>
        <rFont val="游ゴシック"/>
        <family val="3"/>
        <charset val="128"/>
      </rPr>
      <t>4.4_</t>
    </r>
    <r>
      <rPr>
        <sz val="10"/>
        <rFont val="Noto Sans CJK SC"/>
        <family val="2"/>
      </rPr>
      <t>表示管理</t>
    </r>
  </si>
  <si>
    <t>表示管理の適用範囲拡大（工程外ラベル含む）への対応確認</t>
  </si>
  <si>
    <t>4.5</t>
  </si>
  <si>
    <r>
      <rPr>
        <sz val="10"/>
        <rFont val="游ゴシック"/>
        <family val="3"/>
        <charset val="128"/>
      </rPr>
      <t>4.5_AI</t>
    </r>
    <r>
      <rPr>
        <sz val="10"/>
        <rFont val="Noto Sans CJK SC"/>
        <family val="2"/>
      </rPr>
      <t>利用リスク評価</t>
    </r>
  </si>
  <si>
    <r>
      <rPr>
        <sz val="10"/>
        <rFont val="游ゴシック"/>
        <family val="3"/>
        <charset val="128"/>
      </rPr>
      <t>AI</t>
    </r>
    <r>
      <rPr>
        <sz val="10"/>
        <rFont val="Noto Sans CJK SC"/>
        <family val="2"/>
      </rPr>
      <t>利用時のリスク評価（</t>
    </r>
    <r>
      <rPr>
        <sz val="10"/>
        <rFont val="游ゴシック"/>
        <family val="3"/>
        <charset val="128"/>
      </rPr>
      <t>AI</t>
    </r>
    <r>
      <rPr>
        <sz val="10"/>
        <rFont val="Noto Sans CJK SC"/>
        <family val="2"/>
      </rPr>
      <t>未使用の場合は「該当なし」）</t>
    </r>
  </si>
  <si>
    <t>4.6</t>
  </si>
  <si>
    <r>
      <rPr>
        <sz val="10"/>
        <rFont val="游ゴシック"/>
        <family val="3"/>
        <charset val="128"/>
      </rPr>
      <t>4.6_</t>
    </r>
    <r>
      <rPr>
        <sz val="10"/>
        <rFont val="Noto Sans CJK SC"/>
        <family val="2"/>
      </rPr>
      <t>総合ギャップ分析</t>
    </r>
  </si>
  <si>
    <t>全テンプレートを統合した、移行準備の進捗一覧</t>
  </si>
  <si>
    <r>
      <rPr>
        <b/>
        <sz val="14"/>
        <color rgb="FF000000"/>
        <rFont val="游ゴシック"/>
        <family val="3"/>
        <charset val="128"/>
      </rPr>
      <t>4.1</t>
    </r>
    <r>
      <rPr>
        <b/>
        <sz val="14"/>
        <color rgb="FF000000"/>
        <rFont val="Noto Sans CJK SC"/>
        <family val="2"/>
      </rPr>
      <t>　</t>
    </r>
    <r>
      <rPr>
        <b/>
        <sz val="14"/>
        <color rgb="FF000000"/>
        <rFont val="游ゴシック"/>
        <family val="3"/>
        <charset val="128"/>
      </rPr>
      <t>PRP</t>
    </r>
    <r>
      <rPr>
        <b/>
        <sz val="14"/>
        <color rgb="FF000000"/>
        <rFont val="Noto Sans CJK SC"/>
        <family val="2"/>
      </rPr>
      <t>棚卸しテンプレート</t>
    </r>
  </si>
  <si>
    <r>
      <rPr>
        <sz val="10"/>
        <color rgb="FF000000"/>
        <rFont val="游ゴシック"/>
        <family val="3"/>
        <charset val="128"/>
      </rPr>
      <t>PRP</t>
    </r>
    <r>
      <rPr>
        <sz val="10"/>
        <color rgb="FF000000"/>
        <rFont val="Noto Sans CJK SC"/>
        <family val="2"/>
      </rPr>
      <t>（前提条件プログラム）は、食品安全の基礎となる衛生管理の仕組みです。</t>
    </r>
  </si>
  <si>
    <r>
      <rPr>
        <sz val="10"/>
        <color rgb="FF000000"/>
        <rFont val="Noto Sans CJK SC"/>
        <family val="2"/>
      </rPr>
      <t>このテンプレートを使用することで、</t>
    </r>
    <r>
      <rPr>
        <sz val="10"/>
        <color rgb="FF000000"/>
        <rFont val="游ゴシック"/>
        <family val="3"/>
        <charset val="128"/>
      </rPr>
      <t>PRP</t>
    </r>
    <r>
      <rPr>
        <sz val="10"/>
        <color rgb="FF000000"/>
        <rFont val="Noto Sans CJK SC"/>
        <family val="2"/>
      </rPr>
      <t>の抜け漏れを体系的に確認できます。</t>
    </r>
  </si>
  <si>
    <r>
      <rPr>
        <i/>
        <sz val="9"/>
        <color rgb="FF808080"/>
        <rFont val="Noto Sans CJK SC"/>
        <family val="2"/>
      </rPr>
      <t>※ 斜体（グレー）の行は記入例です。実際の</t>
    </r>
    <r>
      <rPr>
        <i/>
        <sz val="9"/>
        <color rgb="FF808080"/>
        <rFont val="游ゴシック"/>
        <family val="3"/>
        <charset val="128"/>
      </rPr>
      <t>PRP</t>
    </r>
    <r>
      <rPr>
        <i/>
        <sz val="9"/>
        <color rgb="FF808080"/>
        <rFont val="Noto Sans CJK SC"/>
        <family val="2"/>
      </rPr>
      <t>項目に置き換えてご使用ください。優先度欄はプルダウンから選択できます。</t>
    </r>
  </si>
  <si>
    <t>項目名</t>
  </si>
  <si>
    <t>現状の運用内容</t>
  </si>
  <si>
    <r>
      <rPr>
        <b/>
        <sz val="10"/>
        <color rgb="FF000000"/>
        <rFont val="游ゴシック"/>
        <family val="3"/>
        <charset val="128"/>
      </rPr>
      <t>V7</t>
    </r>
    <r>
      <rPr>
        <b/>
        <sz val="10"/>
        <color rgb="FF000000"/>
        <rFont val="Noto Sans CJK SC"/>
        <family val="2"/>
      </rPr>
      <t>要求事項との整合性</t>
    </r>
  </si>
  <si>
    <t>不足している点</t>
  </si>
  <si>
    <t>必要な改善内容</t>
  </si>
  <si>
    <t>改善の優先度
（高・中・低）</t>
  </si>
  <si>
    <t>担当者</t>
  </si>
  <si>
    <t>完了予定日</t>
  </si>
  <si>
    <t>【記入例】有害生物防除（害虫・害獣対策）</t>
  </si>
  <si>
    <r>
      <rPr>
        <i/>
        <sz val="10"/>
        <color rgb="FF808080"/>
        <rFont val="Noto Sans CJK SC"/>
        <family val="2"/>
      </rPr>
      <t>外部業者による月</t>
    </r>
    <r>
      <rPr>
        <i/>
        <sz val="10"/>
        <color rgb="FF808080"/>
        <rFont val="游ゴシック"/>
        <family val="3"/>
        <charset val="128"/>
      </rPr>
      <t>1</t>
    </r>
    <r>
      <rPr>
        <i/>
        <sz val="10"/>
        <color rgb="FF808080"/>
        <rFont val="Noto Sans CJK SC"/>
        <family val="2"/>
      </rPr>
      <t>回の巡回点検とトラップ設置を実施している</t>
    </r>
  </si>
  <si>
    <r>
      <rPr>
        <i/>
        <sz val="10"/>
        <color rgb="FF808080"/>
        <rFont val="游ゴシック"/>
        <family val="3"/>
        <charset val="128"/>
      </rPr>
      <t>ISO22002-100</t>
    </r>
    <r>
      <rPr>
        <i/>
        <sz val="10"/>
        <color rgb="FF808080"/>
        <rFont val="Noto Sans CJK SC"/>
        <family val="2"/>
      </rPr>
      <t>の該当箇条とおおむね整合している</t>
    </r>
  </si>
  <si>
    <t>点検記録の様式が旧版のまま更新されていない</t>
  </si>
  <si>
    <r>
      <rPr>
        <i/>
        <sz val="10"/>
        <color rgb="FF808080"/>
        <rFont val="Noto Sans CJK SC"/>
        <family val="2"/>
      </rPr>
      <t>記録様式を</t>
    </r>
    <r>
      <rPr>
        <i/>
        <sz val="10"/>
        <color rgb="FF808080"/>
        <rFont val="游ゴシック"/>
        <family val="3"/>
        <charset val="128"/>
      </rPr>
      <t>V7</t>
    </r>
    <r>
      <rPr>
        <i/>
        <sz val="10"/>
        <color rgb="FF808080"/>
        <rFont val="Noto Sans CJK SC"/>
        <family val="2"/>
      </rPr>
      <t>対応版に改訂し、是正処置欄を追加する</t>
    </r>
  </si>
  <si>
    <t>中</t>
  </si>
  <si>
    <t>品質保証課　佐藤</t>
  </si>
  <si>
    <t>優先度別の件数（自動集計）</t>
  </si>
  <si>
    <t>高</t>
  </si>
  <si>
    <t>低</t>
  </si>
  <si>
    <r>
      <rPr>
        <b/>
        <sz val="14"/>
        <color rgb="FF000000"/>
        <rFont val="游ゴシック"/>
        <family val="3"/>
        <charset val="128"/>
      </rPr>
      <t>4.2</t>
    </r>
    <r>
      <rPr>
        <b/>
        <sz val="14"/>
        <color rgb="FF000000"/>
        <rFont val="Noto Sans CJK SC"/>
        <family val="2"/>
      </rPr>
      <t>　食品安全文化チェックリスト</t>
    </r>
  </si>
  <si>
    <r>
      <rPr>
        <sz val="10"/>
        <color rgb="FF000000"/>
        <rFont val="Noto Sans CJK SC"/>
        <family val="2"/>
      </rPr>
      <t>食品安全文化は、</t>
    </r>
    <r>
      <rPr>
        <sz val="10"/>
        <color rgb="FF000000"/>
        <rFont val="游ゴシック"/>
        <family val="3"/>
        <charset val="128"/>
      </rPr>
      <t>V7</t>
    </r>
    <r>
      <rPr>
        <sz val="10"/>
        <color rgb="FF000000"/>
        <rFont val="Noto Sans CJK SC"/>
        <family val="2"/>
      </rPr>
      <t>で強化された重要な要求事項です。</t>
    </r>
  </si>
  <si>
    <t>単なる教育記録ではなく、文化が行動として根付いていることを示す証拠が必要になります。</t>
  </si>
  <si>
    <t>※ 斜体（グレー）の行は記入例です。各チェック項目について評価欄以降をご記入ください。評価欄はプルダウンから選択できます。</t>
  </si>
  <si>
    <t>チェック項目</t>
  </si>
  <si>
    <r>
      <rPr>
        <b/>
        <sz val="10"/>
        <color rgb="FF000000"/>
        <rFont val="Noto Sans CJK SC"/>
        <family val="2"/>
      </rPr>
      <t>現状の評価
（○／△／</t>
    </r>
    <r>
      <rPr>
        <b/>
        <sz val="10"/>
        <color rgb="FF000000"/>
        <rFont val="游ゴシック"/>
        <family val="3"/>
        <charset val="128"/>
      </rPr>
      <t>×</t>
    </r>
    <r>
      <rPr>
        <b/>
        <sz val="10"/>
        <color rgb="FF000000"/>
        <rFont val="Noto Sans CJK SC"/>
        <family val="2"/>
      </rPr>
      <t>）</t>
    </r>
  </si>
  <si>
    <t>改善内容</t>
  </si>
  <si>
    <t>【記入例】食品安全に関する定期的なコミュニケーションが行われている</t>
  </si>
  <si>
    <t>△</t>
  </si>
  <si>
    <t>朝礼での共有はあるが、記録として残っていない</t>
  </si>
  <si>
    <t>共有内容を議事録に記録し、月次で保管する運用に変更する</t>
  </si>
  <si>
    <t>食品安全に関する定期的なコミュニケーションが行われている</t>
  </si>
  <si>
    <t>従業員の改善提案が記録されている</t>
  </si>
  <si>
    <t>教育内容の理解度確認が実施されている</t>
  </si>
  <si>
    <t>現場での行動変化が記録されている</t>
  </si>
  <si>
    <t>経営層が食品安全に関与している</t>
  </si>
  <si>
    <t>食品安全に関する目標が共有されている</t>
  </si>
  <si>
    <t>食品安全に関する問題が迅速に共有されている</t>
  </si>
  <si>
    <t>評価別の件数（自動集計）</t>
  </si>
  <si>
    <t>○</t>
  </si>
  <si>
    <t>×</t>
  </si>
  <si>
    <r>
      <rPr>
        <b/>
        <sz val="14"/>
        <color rgb="FF000000"/>
        <rFont val="游ゴシック"/>
        <family val="3"/>
        <charset val="128"/>
      </rPr>
      <t>4.3</t>
    </r>
    <r>
      <rPr>
        <b/>
        <sz val="14"/>
        <color rgb="FF000000"/>
        <rFont val="Noto Sans CJK SC"/>
        <family val="2"/>
      </rPr>
      <t>　食品ロス</t>
    </r>
    <r>
      <rPr>
        <b/>
        <sz val="14"/>
        <color rgb="FF000000"/>
        <rFont val="游ゴシック"/>
        <family val="3"/>
        <charset val="128"/>
      </rPr>
      <t>KPI</t>
    </r>
    <r>
      <rPr>
        <b/>
        <sz val="14"/>
        <color rgb="FF000000"/>
        <rFont val="Noto Sans CJK SC"/>
        <family val="2"/>
      </rPr>
      <t>設定テンプレート</t>
    </r>
  </si>
  <si>
    <r>
      <rPr>
        <sz val="10"/>
        <color rgb="FF000000"/>
        <rFont val="Noto Sans CJK SC"/>
        <family val="2"/>
      </rPr>
      <t>食品ロスの計測と</t>
    </r>
    <r>
      <rPr>
        <sz val="10"/>
        <color rgb="FF000000"/>
        <rFont val="游ゴシック"/>
        <family val="3"/>
        <charset val="128"/>
      </rPr>
      <t>KPI</t>
    </r>
    <r>
      <rPr>
        <sz val="10"/>
        <color rgb="FF000000"/>
        <rFont val="Noto Sans CJK SC"/>
        <family val="2"/>
      </rPr>
      <t>設定が必要となるため、簡易的に導入できるテンプレートを用意しています。</t>
    </r>
  </si>
  <si>
    <t>中小企業でも使いやすいように、ロスの分類を簡易化しています。</t>
  </si>
  <si>
    <t>※ 斜体（グレー）の行は記入例です。工程ごとにロスの発生状況をご記入ください。</t>
  </si>
  <si>
    <t>工程名</t>
  </si>
  <si>
    <t>食品ロスの種類
（加工ロス／廃棄ロス／返品ロスなど）</t>
  </si>
  <si>
    <t>ロスの発生量
（数値）</t>
  </si>
  <si>
    <t>ロスの発生原因</t>
  </si>
  <si>
    <t>改善の方向性</t>
  </si>
  <si>
    <r>
      <rPr>
        <b/>
        <sz val="10"/>
        <color rgb="FF000000"/>
        <rFont val="游ゴシック"/>
        <family val="3"/>
        <charset val="128"/>
      </rPr>
      <t xml:space="preserve">KPI
</t>
    </r>
    <r>
      <rPr>
        <b/>
        <sz val="10"/>
        <color rgb="FF000000"/>
        <rFont val="Noto Sans CJK SC"/>
        <family val="2"/>
      </rPr>
      <t>（例：ロス率○％以下）</t>
    </r>
  </si>
  <si>
    <t>改善活動の記録</t>
  </si>
  <si>
    <t>評価日</t>
  </si>
  <si>
    <t>【記入例】包装工程</t>
  </si>
  <si>
    <t>加工ロス</t>
  </si>
  <si>
    <r>
      <rPr>
        <i/>
        <sz val="10"/>
        <color rgb="FF808080"/>
        <rFont val="游ゴシック"/>
        <family val="3"/>
        <charset val="128"/>
      </rPr>
      <t>120kg</t>
    </r>
    <r>
      <rPr>
        <i/>
        <sz val="10"/>
        <color rgb="FF808080"/>
        <rFont val="Noto Sans CJK SC"/>
        <family val="2"/>
      </rPr>
      <t>／月</t>
    </r>
  </si>
  <si>
    <t>包装フィルムのカット不良によるロス</t>
  </si>
  <si>
    <t>カット刃の定期交換とオペレーター教育の実施</t>
  </si>
  <si>
    <r>
      <rPr>
        <i/>
        <sz val="10"/>
        <color rgb="FF808080"/>
        <rFont val="Noto Sans CJK SC"/>
        <family val="2"/>
      </rPr>
      <t>ロス率</t>
    </r>
    <r>
      <rPr>
        <i/>
        <sz val="10"/>
        <color rgb="FF808080"/>
        <rFont val="游ゴシック"/>
        <family val="3"/>
        <charset val="128"/>
      </rPr>
      <t>1.5</t>
    </r>
    <r>
      <rPr>
        <i/>
        <sz val="10"/>
        <color rgb="FF808080"/>
        <rFont val="Noto Sans CJK SC"/>
        <family val="2"/>
      </rPr>
      <t>％以下</t>
    </r>
  </si>
  <si>
    <r>
      <rPr>
        <i/>
        <sz val="10"/>
        <color rgb="FF808080"/>
        <rFont val="游ゴシック"/>
        <family val="3"/>
        <charset val="128"/>
      </rPr>
      <t>2026</t>
    </r>
    <r>
      <rPr>
        <i/>
        <sz val="10"/>
        <color rgb="FF808080"/>
        <rFont val="Noto Sans CJK SC"/>
        <family val="2"/>
      </rPr>
      <t>年</t>
    </r>
    <r>
      <rPr>
        <i/>
        <sz val="10"/>
        <color rgb="FF808080"/>
        <rFont val="游ゴシック"/>
        <family val="3"/>
        <charset val="128"/>
      </rPr>
      <t>9</t>
    </r>
    <r>
      <rPr>
        <i/>
        <sz val="10"/>
        <color rgb="FF808080"/>
        <rFont val="Noto Sans CJK SC"/>
        <family val="2"/>
      </rPr>
      <t>月より新オペレーター教育を開始</t>
    </r>
  </si>
  <si>
    <t>製造課　田中</t>
  </si>
  <si>
    <r>
      <rPr>
        <b/>
        <sz val="14"/>
        <color rgb="FF000000"/>
        <rFont val="游ゴシック"/>
        <family val="3"/>
        <charset val="128"/>
      </rPr>
      <t>4.4</t>
    </r>
    <r>
      <rPr>
        <b/>
        <sz val="14"/>
        <color rgb="FF000000"/>
        <rFont val="Noto Sans CJK SC"/>
        <family val="2"/>
      </rPr>
      <t>　表示管理チェックリスト</t>
    </r>
  </si>
  <si>
    <t>誤表示防止のためのチェックリストを整備することで、審査での指摘を防ぐことができます。</t>
  </si>
  <si>
    <t>【記入例】製品ラベルの内容確認</t>
  </si>
  <si>
    <t>特になし</t>
  </si>
  <si>
    <t>現行の確認手順を維持する</t>
  </si>
  <si>
    <t>品質保証課</t>
  </si>
  <si>
    <t>製品ラベルの内容確認</t>
  </si>
  <si>
    <t>外装箱・段ボールラベルの管理</t>
  </si>
  <si>
    <t>仕分けラベルの管理</t>
  </si>
  <si>
    <t>顧客支給ラベルの確認</t>
  </si>
  <si>
    <t>ラベル保管場所の管理</t>
  </si>
  <si>
    <t>誤表示防止のための工程設計</t>
  </si>
  <si>
    <t>ラベル貼付作業の二重チェック</t>
  </si>
  <si>
    <t>ラベル廃棄の管理</t>
  </si>
  <si>
    <r>
      <rPr>
        <b/>
        <sz val="14"/>
        <color rgb="FF000000"/>
        <rFont val="游ゴシック"/>
        <family val="3"/>
        <charset val="128"/>
      </rPr>
      <t>4.5</t>
    </r>
    <r>
      <rPr>
        <b/>
        <sz val="14"/>
        <color rgb="FF000000"/>
        <rFont val="Noto Sans CJK SC"/>
        <family val="2"/>
      </rPr>
      <t>　</t>
    </r>
    <r>
      <rPr>
        <b/>
        <sz val="14"/>
        <color rgb="FF000000"/>
        <rFont val="游ゴシック"/>
        <family val="3"/>
        <charset val="128"/>
      </rPr>
      <t>AI</t>
    </r>
    <r>
      <rPr>
        <b/>
        <sz val="14"/>
        <color rgb="FF000000"/>
        <rFont val="Noto Sans CJK SC"/>
        <family val="2"/>
      </rPr>
      <t>利用時のリスク評価テンプレート</t>
    </r>
  </si>
  <si>
    <r>
      <rPr>
        <sz val="10"/>
        <color rgb="FF000000"/>
        <rFont val="游ゴシック"/>
        <family val="3"/>
        <charset val="128"/>
      </rPr>
      <t>AI</t>
    </r>
    <r>
      <rPr>
        <sz val="10"/>
        <color rgb="FF000000"/>
        <rFont val="Noto Sans CJK SC"/>
        <family val="2"/>
      </rPr>
      <t>を使用していない場合は「該当なし」で問題ありません。</t>
    </r>
  </si>
  <si>
    <r>
      <rPr>
        <i/>
        <sz val="9"/>
        <color rgb="FF808080"/>
        <rFont val="Noto Sans CJK SC"/>
        <family val="2"/>
      </rPr>
      <t>※ 斜体（グレー）の行は記入例です。</t>
    </r>
    <r>
      <rPr>
        <i/>
        <sz val="9"/>
        <color rgb="FF808080"/>
        <rFont val="游ゴシック"/>
        <family val="3"/>
        <charset val="128"/>
      </rPr>
      <t>AI</t>
    </r>
    <r>
      <rPr>
        <i/>
        <sz val="9"/>
        <color rgb="FF808080"/>
        <rFont val="Noto Sans CJK SC"/>
        <family val="2"/>
      </rPr>
      <t>の用途ごとに</t>
    </r>
    <r>
      <rPr>
        <i/>
        <sz val="9"/>
        <color rgb="FF808080"/>
        <rFont val="游ゴシック"/>
        <family val="3"/>
        <charset val="128"/>
      </rPr>
      <t>1</t>
    </r>
    <r>
      <rPr>
        <i/>
        <sz val="9"/>
        <color rgb="FF808080"/>
        <rFont val="Noto Sans CJK SC"/>
        <family val="2"/>
      </rPr>
      <t>行を目安にご記入ください。</t>
    </r>
  </si>
  <si>
    <r>
      <rPr>
        <b/>
        <sz val="10"/>
        <color rgb="FF000000"/>
        <rFont val="游ゴシック"/>
        <family val="3"/>
        <charset val="128"/>
      </rPr>
      <t>AI</t>
    </r>
    <r>
      <rPr>
        <b/>
        <sz val="10"/>
        <color rgb="FF000000"/>
        <rFont val="Noto Sans CJK SC"/>
        <family val="2"/>
      </rPr>
      <t>の利用目的</t>
    </r>
  </si>
  <si>
    <t>利用範囲</t>
  </si>
  <si>
    <r>
      <rPr>
        <b/>
        <sz val="10"/>
        <color rgb="FF000000"/>
        <rFont val="游ゴシック"/>
        <family val="3"/>
        <charset val="128"/>
      </rPr>
      <t>AI</t>
    </r>
    <r>
      <rPr>
        <b/>
        <sz val="10"/>
        <color rgb="FF000000"/>
        <rFont val="Noto Sans CJK SC"/>
        <family val="2"/>
      </rPr>
      <t>が誤情報を出す可能性</t>
    </r>
  </si>
  <si>
    <t>誤情報が食品安全に与える影響</t>
  </si>
  <si>
    <t>確認プロセス</t>
  </si>
  <si>
    <t>リスク低減策</t>
  </si>
  <si>
    <r>
      <rPr>
        <i/>
        <sz val="10"/>
        <color rgb="FF808080"/>
        <rFont val="Noto Sans CJK SC"/>
        <family val="2"/>
      </rPr>
      <t>【記入例】需要予測</t>
    </r>
    <r>
      <rPr>
        <i/>
        <sz val="10"/>
        <color rgb="FF808080"/>
        <rFont val="游ゴシック"/>
        <family val="3"/>
        <charset val="128"/>
      </rPr>
      <t>AI</t>
    </r>
    <r>
      <rPr>
        <i/>
        <sz val="10"/>
        <color rgb="FF808080"/>
        <rFont val="Noto Sans CJK SC"/>
        <family val="2"/>
      </rPr>
      <t>による発注数量の最適化</t>
    </r>
  </si>
  <si>
    <t>発注担当部門のみ、社内システム上で利用</t>
  </si>
  <si>
    <t>学習データの偏りにより需要予測を大幅に誤る可能性がある</t>
  </si>
  <si>
    <t>欠品・過剰在庫による品質劣化リスクにつながる可能性がある</t>
  </si>
  <si>
    <t>発注担当者が最終数量を目視確認のうえ確定する</t>
  </si>
  <si>
    <t>定期的なモデル精度検証と、逸脱時のアラート設定</t>
  </si>
  <si>
    <t>情報システム課</t>
  </si>
  <si>
    <r>
      <rPr>
        <b/>
        <sz val="14"/>
        <color rgb="FF000000"/>
        <rFont val="游ゴシック"/>
        <family val="3"/>
        <charset val="128"/>
      </rPr>
      <t>4.6</t>
    </r>
    <r>
      <rPr>
        <b/>
        <sz val="14"/>
        <color rgb="FF000000"/>
        <rFont val="Noto Sans CJK SC"/>
        <family val="2"/>
      </rPr>
      <t>　</t>
    </r>
    <r>
      <rPr>
        <b/>
        <sz val="14"/>
        <color rgb="FF000000"/>
        <rFont val="游ゴシック"/>
        <family val="3"/>
        <charset val="128"/>
      </rPr>
      <t>V7</t>
    </r>
    <r>
      <rPr>
        <b/>
        <sz val="14"/>
        <color rgb="FF000000"/>
        <rFont val="Noto Sans CJK SC"/>
        <family val="2"/>
      </rPr>
      <t>移行ギャップ分析シート（総合版）</t>
    </r>
  </si>
  <si>
    <r>
      <rPr>
        <sz val="10"/>
        <color rgb="FF000000"/>
        <rFont val="Noto Sans CJK SC"/>
        <family val="2"/>
      </rPr>
      <t>各テンプレートの内容を統合し、</t>
    </r>
    <r>
      <rPr>
        <sz val="10"/>
        <color rgb="FF000000"/>
        <rFont val="游ゴシック"/>
        <family val="3"/>
        <charset val="128"/>
      </rPr>
      <t>V7</t>
    </r>
    <r>
      <rPr>
        <sz val="10"/>
        <color rgb="FF000000"/>
        <rFont val="Noto Sans CJK SC"/>
        <family val="2"/>
      </rPr>
      <t>移行に必要な全体のギャップを一覧化するための総合版シートです。</t>
    </r>
  </si>
  <si>
    <t>このシートを使用することで、移行準備の進捗を一目で把握できます。</t>
  </si>
  <si>
    <r>
      <rPr>
        <i/>
        <sz val="9"/>
        <color rgb="FF808080"/>
        <rFont val="Noto Sans CJK SC"/>
        <family val="2"/>
      </rPr>
      <t>※ 斜体（グレー）の行は記入例です。</t>
    </r>
    <r>
      <rPr>
        <i/>
        <sz val="9"/>
        <color rgb="FF808080"/>
        <rFont val="游ゴシック"/>
        <family val="3"/>
        <charset val="128"/>
      </rPr>
      <t>4.1</t>
    </r>
    <r>
      <rPr>
        <i/>
        <sz val="9"/>
        <color rgb="FF808080"/>
        <rFont val="Noto Sans CJK SC"/>
        <family val="2"/>
      </rPr>
      <t>〜</t>
    </r>
    <r>
      <rPr>
        <i/>
        <sz val="9"/>
        <color rgb="FF808080"/>
        <rFont val="游ゴシック"/>
        <family val="3"/>
        <charset val="128"/>
      </rPr>
      <t>4.5</t>
    </r>
    <r>
      <rPr>
        <i/>
        <sz val="9"/>
        <color rgb="FF808080"/>
        <rFont val="Noto Sans CJK SC"/>
        <family val="2"/>
      </rPr>
      <t>で洗い出した要求事項を集約してご記入ください。評価・優先度・改善状況欄はプルダウンから選択できます。</t>
    </r>
  </si>
  <si>
    <t>要求事項</t>
  </si>
  <si>
    <t>改善状況
（未着手／進行中／完了）</t>
  </si>
  <si>
    <r>
      <rPr>
        <i/>
        <sz val="10"/>
        <color rgb="FF808080"/>
        <rFont val="Noto Sans CJK SC"/>
        <family val="2"/>
      </rPr>
      <t>【記入例】</t>
    </r>
    <r>
      <rPr>
        <i/>
        <sz val="10"/>
        <color rgb="FF808080"/>
        <rFont val="游ゴシック"/>
        <family val="3"/>
        <charset val="128"/>
      </rPr>
      <t>PRP</t>
    </r>
    <r>
      <rPr>
        <i/>
        <sz val="10"/>
        <color rgb="FF808080"/>
        <rFont val="Noto Sans CJK SC"/>
        <family val="2"/>
      </rPr>
      <t>（</t>
    </r>
    <r>
      <rPr>
        <i/>
        <sz val="10"/>
        <color rgb="FF808080"/>
        <rFont val="游ゴシック"/>
        <family val="3"/>
        <charset val="128"/>
      </rPr>
      <t>ISO22002-100</t>
    </r>
    <r>
      <rPr>
        <i/>
        <sz val="10"/>
        <color rgb="FF808080"/>
        <rFont val="Noto Sans CJK SC"/>
        <family val="2"/>
      </rPr>
      <t>）への刷新</t>
    </r>
  </si>
  <si>
    <t>記録様式が旧基準のまま</t>
  </si>
  <si>
    <t>記録様式の更新と是正処置欄の追加</t>
  </si>
  <si>
    <t>進行中</t>
  </si>
  <si>
    <t>改善状況の集計（自動集計）</t>
  </si>
  <si>
    <t>未着手</t>
  </si>
  <si>
    <t>完了</t>
  </si>
  <si>
    <t>優先度の集計（自動集計）</t>
  </si>
  <si>
    <t>V7では共通PRPとしてISO22002-100:2025が新たに導入され、業種別のISO22002-xシリーズ（食品製造業であればISO22002-1:2025）と組み合わせて適用する構成になったため、従来のPRP文書を棚卸しし、要求事項との整合性を確認する必要があります。</t>
    <phoneticPr fontId="16"/>
  </si>
  <si>
    <r>
      <rPr>
        <sz val="10"/>
        <color rgb="FF000000"/>
        <rFont val="游ゴシック"/>
        <family val="2"/>
        <charset val="128"/>
      </rPr>
      <t>食品ロス管理（</t>
    </r>
    <r>
      <rPr>
        <sz val="10"/>
        <color rgb="FF000000"/>
        <rFont val="Noto Sans CJK SC"/>
        <family val="2"/>
      </rPr>
      <t>FLW</t>
    </r>
    <r>
      <rPr>
        <sz val="10"/>
        <color rgb="FF000000"/>
        <rFont val="游ゴシック"/>
        <family val="2"/>
        <charset val="128"/>
      </rPr>
      <t>）は、</t>
    </r>
    <r>
      <rPr>
        <sz val="10"/>
        <color rgb="FF000000"/>
        <rFont val="Noto Sans CJK SC"/>
        <family val="2"/>
      </rPr>
      <t>V6</t>
    </r>
    <r>
      <rPr>
        <sz val="10"/>
        <color rgb="FF000000"/>
        <rFont val="游ゴシック"/>
        <family val="2"/>
        <charset val="128"/>
      </rPr>
      <t>（条項</t>
    </r>
    <r>
      <rPr>
        <sz val="10"/>
        <color rgb="FF000000"/>
        <rFont val="Noto Sans CJK SC"/>
        <family val="2"/>
      </rPr>
      <t>2.5.16</t>
    </r>
    <r>
      <rPr>
        <sz val="10"/>
        <color rgb="FF000000"/>
        <rFont val="游ゴシック"/>
        <family val="2"/>
        <charset val="128"/>
      </rPr>
      <t>）から求められている要求事項ですが、</t>
    </r>
    <r>
      <rPr>
        <sz val="10"/>
        <color rgb="FF000000"/>
        <rFont val="Noto Sans CJK SC"/>
        <family val="2"/>
      </rPr>
      <t>V7</t>
    </r>
    <r>
      <rPr>
        <sz val="10"/>
        <color rgb="FF000000"/>
        <rFont val="游ゴシック"/>
        <family val="2"/>
        <charset val="128"/>
      </rPr>
      <t>では目標を測定可能な</t>
    </r>
    <r>
      <rPr>
        <sz val="10"/>
        <color rgb="FF000000"/>
        <rFont val="Noto Sans CJK SC"/>
        <family val="2"/>
      </rPr>
      <t>KPI</t>
    </r>
    <r>
      <rPr>
        <sz val="10"/>
        <color rgb="FF000000"/>
        <rFont val="游ゴシック"/>
        <family val="2"/>
        <charset val="128"/>
      </rPr>
      <t>と期限で裏付けることが明確化されました。</t>
    </r>
    <phoneticPr fontId="16"/>
  </si>
  <si>
    <t>V7では表示管理について、版下（アートワーク）管理の手順や、表示内容を販売先の国の規制に適合させることが明確化されました。
中小食品工場では、外装箱や仕分けラベルなど工程外の表示物まで管理が曖昧なケースが多く、実務上の重要な確認ポイントです。</t>
    <phoneticPr fontId="16"/>
  </si>
  <si>
    <t>販売先の国の表示規制への
適合確認</t>
    <phoneticPr fontId="16"/>
  </si>
  <si>
    <t>版下（アートワーク）の
承認・変更管理の手順</t>
    <phoneticPr fontId="16"/>
  </si>
  <si>
    <r>
      <rPr>
        <b/>
        <sz val="10"/>
        <color rgb="FF000000"/>
        <rFont val="ＭＳ ゴシック"/>
        <family val="3"/>
        <charset val="128"/>
      </rPr>
      <t xml:space="preserve">現状評価
</t>
    </r>
    <r>
      <rPr>
        <b/>
        <sz val="10"/>
        <color rgb="FF000000"/>
        <rFont val="Segoe UI Symbol"/>
        <family val="2"/>
      </rPr>
      <t>○</t>
    </r>
    <r>
      <rPr>
        <b/>
        <sz val="10"/>
        <color rgb="FF000000"/>
        <rFont val="游ゴシック"/>
        <family val="2"/>
        <charset val="128"/>
      </rPr>
      <t>/</t>
    </r>
    <r>
      <rPr>
        <b/>
        <sz val="10"/>
        <color rgb="FF000000"/>
        <rFont val="Segoe UI Symbol"/>
        <family val="3"/>
      </rPr>
      <t>△/</t>
    </r>
    <r>
      <rPr>
        <b/>
        <sz val="10"/>
        <color rgb="FF000000"/>
        <rFont val="游ゴシック"/>
        <family val="3"/>
        <charset val="128"/>
      </rPr>
      <t>×</t>
    </r>
    <phoneticPr fontId="16"/>
  </si>
  <si>
    <t>V7のPart 3第9章では、認証プロセスにおけるAI利用に関するガバナンス要求が新設されました。
これは主に認証機関側の対応を対象としたものですが、自社でAIを食品安全に関わる判断に利用している場合は、リスクを整理しておくと安心です。</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</si>
</sst>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4">
    <font>
      <sz val="11"/>
      <color theme="1"/>
      <name val="Calibri"/>
      <family val="2"/>
      <charset val="1"/>
    </font>
    <font>
      <b/>
      <sz val="14"/>
      <color rgb="FF000000"/>
      <name val="游ゴシック"/>
      <family val="3"/>
      <charset val="128"/>
    </font>
    <font>
      <b/>
      <sz val="14"/>
      <color rgb="FF000000"/>
      <name val="Noto Sans CJK SC"/>
      <family val="2"/>
    </font>
    <font>
      <sz val="10"/>
      <color rgb="FF000000"/>
      <name val="Noto Sans CJK SC"/>
      <family val="2"/>
    </font>
    <font>
      <sz val="10"/>
      <color rgb="FF000000"/>
      <name val="游ゴシック"/>
      <family val="3"/>
      <charset val="128"/>
    </font>
    <font>
      <b/>
      <sz val="10"/>
      <name val="游ゴシック"/>
      <family val="3"/>
      <charset val="128"/>
    </font>
    <font>
      <b/>
      <sz val="10"/>
      <name val="Noto Sans CJK SC"/>
      <family val="2"/>
    </font>
    <font>
      <sz val="10"/>
      <name val="游ゴシック"/>
      <family val="3"/>
      <charset val="128"/>
    </font>
    <font>
      <sz val="10"/>
      <name val="Noto Sans CJK SC"/>
      <family val="2"/>
    </font>
    <font>
      <u/>
      <sz val="10"/>
      <color rgb="FF1155CC"/>
      <name val="Noto Sans CJK SC"/>
      <family val="2"/>
    </font>
    <font>
      <i/>
      <sz val="9"/>
      <color rgb="FF808080"/>
      <name val="Noto Sans CJK SC"/>
      <family val="2"/>
    </font>
    <font>
      <i/>
      <sz val="9"/>
      <color rgb="FF808080"/>
      <name val="游ゴシック"/>
      <family val="3"/>
      <charset val="128"/>
    </font>
    <font>
      <b/>
      <sz val="10"/>
      <color rgb="FF000000"/>
      <name val="Noto Sans CJK SC"/>
      <family val="2"/>
    </font>
    <font>
      <b/>
      <sz val="10"/>
      <color rgb="FF000000"/>
      <name val="游ゴシック"/>
      <family val="3"/>
      <charset val="128"/>
    </font>
    <font>
      <i/>
      <sz val="10"/>
      <color rgb="FF808080"/>
      <name val="Noto Sans CJK SC"/>
      <family val="2"/>
    </font>
    <font>
      <i/>
      <sz val="10"/>
      <color rgb="FF808080"/>
      <name val="游ゴシック"/>
      <family val="3"/>
      <charset val="128"/>
    </font>
    <font>
      <sz val="6"/>
      <name val="ＭＳ Ｐゴシック"/>
      <family val="3"/>
      <charset val="128"/>
    </font>
    <font>
      <sz val="10"/>
      <color rgb="FF000000"/>
      <name val="游ゴシック"/>
      <family val="2"/>
      <charset val="128"/>
    </font>
    <font>
      <sz val="10"/>
      <color rgb="FF000000"/>
      <name val="Noto Sans CJK SC"/>
      <family val="2"/>
      <charset val="128"/>
    </font>
    <font>
      <b/>
      <sz val="10"/>
      <color rgb="FF000000"/>
      <name val="ＭＳ ゴシック"/>
      <family val="3"/>
      <charset val="128"/>
    </font>
    <font>
      <b/>
      <sz val="10"/>
      <color rgb="FF000000"/>
      <name val="Segoe UI Symbol"/>
      <family val="2"/>
    </font>
    <font>
      <b/>
      <sz val="10"/>
      <color rgb="FF000000"/>
      <name val="Segoe UI Symbol"/>
      <family val="3"/>
    </font>
    <font>
      <b/>
      <sz val="10"/>
      <color rgb="FF000000"/>
      <name val="游ゴシック"/>
      <family val="2"/>
      <charset val="128"/>
    </font>
    <font>
      <b/>
      <sz val="10"/>
      <color rgb="FF000000"/>
      <name val="Noto Sans CJK SC"/>
      <family val="3"/>
      <charset val="128"/>
    </font>
  </fonts>
  <fills count="2">
    <fill>
      <patternFill patternType="none"/>
    </fill>
    <fill>
      <patternFill patternType="gray125"/>
    </fill>
  </fills>
  <borders count="3">
    <border>
      <left/>
      <right/>
      <top/>
      <bottom/>
      <diagonal/>
    </border>
    <border>
      <left style="thin">
        <color rgb="FFBFBFBF"/>
      </left>
      <right style="thin">
        <color rgb="FFBFBFBF"/>
      </right>
      <top style="thin">
        <color rgb="FFBFBFBF"/>
      </top>
      <bottom style="thin">
        <color rgb="FFBFBFBF"/>
      </bottom>
      <diagonal/>
    </border>
    <border>
      <left style="thin">
        <color theme="0" tint="-0.24994659260841701"/>
      </left>
      <right style="thin">
        <color theme="0" tint="-0.24994659260841701"/>
      </right>
      <top style="medium">
        <color auto="1"/>
      </top>
      <bottom style="medium">
        <color auto="1"/>
      </bottom>
      <diagonal/>
    </border>
  </borders>
  <cellStyleXfs count="1">
    <xf numFmtId="0" fontId="0" fillId="0" borderId="0"/>
  </cellStyleXfs>
  <cellXfs count="25">
    <xf numFmtId="0" fontId="0" fillId="0" borderId="0" xfId="0"/>
    <xf numFmtId="0" fontId="7" fillId="0" borderId="1" xfId="0" applyFont="1" applyBorder="1" applyAlignment="1">
      <alignment horizontal="center" vertical="center"/>
    </xf>
    <xf numFmtId="0" fontId="7" fillId="0" borderId="1" xfId="0" applyFont="1" applyBorder="1" applyAlignment="1">
      <alignment vertical="center" wrapText="1"/>
    </xf>
    <xf numFmtId="0" fontId="9" fillId="0" borderId="1" xfId="0" applyFont="1" applyBorder="1" applyAlignment="1">
      <alignment horizontal="center" vertical="center"/>
    </xf>
    <xf numFmtId="0" fontId="8" fillId="0" borderId="1" xfId="0" applyFont="1" applyBorder="1" applyAlignment="1">
      <alignmen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4" fillId="0" borderId="1" xfId="0" applyFont="1" applyBorder="1" applyAlignment="1">
      <alignment horizontal="left" vertical="center" wrapText="1"/>
    </xf>
    <xf numFmtId="0" fontId="6" fillId="0" borderId="0" xfId="0" applyFont="1"/>
    <xf numFmtId="0" fontId="7" fillId="0" borderId="0" xfId="0" applyFont="1"/>
    <xf numFmtId="0" fontId="3" fillId="0" borderId="1" xfId="0" applyFont="1" applyBorder="1" applyAlignment="1">
      <alignment horizontal="left" vertical="center" wrapText="1"/>
    </xf>
    <xf numFmtId="0" fontId="5" fillId="0" borderId="0" xfId="0" applyFont="1"/>
    <xf numFmtId="176" fontId="15" fillId="0" borderId="1" xfId="0" applyNumberFormat="1" applyFont="1" applyBorder="1" applyAlignment="1">
      <alignment horizontal="left" vertical="center" wrapText="1"/>
    </xf>
    <xf numFmtId="176" fontId="4" fillId="0" borderId="1" xfId="0" applyNumberFormat="1" applyFont="1" applyBorder="1" applyAlignment="1">
      <alignment horizontal="left" vertical="center" wrapText="1"/>
    </xf>
    <xf numFmtId="14" fontId="15" fillId="0" borderId="1" xfId="0" applyNumberFormat="1" applyFont="1" applyBorder="1" applyAlignment="1">
      <alignment horizontal="left" vertical="center" wrapText="1"/>
    </xf>
    <xf numFmtId="14" fontId="4" fillId="0" borderId="1" xfId="0" applyNumberFormat="1" applyFont="1" applyBorder="1" applyAlignment="1">
      <alignment horizontal="lef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7" fillId="0" borderId="1" xfId="0" applyFont="1" applyBorder="1" applyAlignment="1">
      <alignment horizontal="left" vertical="center" wrapText="1"/>
    </xf>
    <xf numFmtId="0" fontId="23" fillId="0" borderId="2" xfId="0" applyFont="1" applyBorder="1" applyAlignment="1">
      <alignment horizontal="center" vertical="center" wrapText="1"/>
    </xf>
    <xf numFmtId="0" fontId="1" fillId="0" borderId="0" xfId="0" applyFont="1" applyAlignment="1">
      <alignment horizontal="left" vertical="center"/>
    </xf>
    <xf numFmtId="0" fontId="3" fillId="0" borderId="0" xfId="0" applyFont="1" applyAlignment="1">
      <alignment horizontal="left" vertical="center" wrapText="1"/>
    </xf>
    <xf numFmtId="0" fontId="10" fillId="0" borderId="0" xfId="0" applyFont="1" applyAlignment="1">
      <alignment horizontal="left" vertical="center" wrapText="1"/>
    </xf>
    <xf numFmtId="0" fontId="4" fillId="0" borderId="0" xfId="0" applyFont="1" applyAlignment="1">
      <alignment horizontal="left" vertical="center" wrapText="1"/>
    </xf>
    <xf numFmtId="0" fontId="18" fillId="0" borderId="0" xfId="0" applyFont="1" applyAlignment="1">
      <alignment horizontal="left" vertical="center" wrapText="1"/>
    </xf>
  </cellXfs>
  <cellStyles count="1">
    <cellStyle name="標準"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FSSC22000_V7&#31227;&#34892;_&#12462;&#12515;&#12483;&#12503;&#20998;&#26512;&#12486;&#12531;&#12503;&#12524;&#12540;&#12488;.xlsx" TargetMode="External"/><Relationship Id="rId7" Type="http://schemas.openxmlformats.org/officeDocument/2006/relationships/printerSettings" Target="../printerSettings/printerSettings1.bin"/><Relationship Id="rId2" Type="http://schemas.openxmlformats.org/officeDocument/2006/relationships/hyperlink" Target="FSSC22000_V7&#31227;&#34892;_&#12462;&#12515;&#12483;&#12503;&#20998;&#26512;&#12486;&#12531;&#12503;&#12524;&#12540;&#12488;.xlsx" TargetMode="External"/><Relationship Id="rId1" Type="http://schemas.openxmlformats.org/officeDocument/2006/relationships/hyperlink" Target="FSSC22000_V7&#31227;&#34892;_&#12462;&#12515;&#12483;&#12503;&#20998;&#26512;&#12486;&#12531;&#12503;&#12524;&#12540;&#12488;.xlsx" TargetMode="External"/><Relationship Id="rId6" Type="http://schemas.openxmlformats.org/officeDocument/2006/relationships/hyperlink" Target="FSSC22000_V7&#31227;&#34892;_&#12462;&#12515;&#12483;&#12503;&#20998;&#26512;&#12486;&#12531;&#12503;&#12524;&#12540;&#12488;.xlsx" TargetMode="External"/><Relationship Id="rId5" Type="http://schemas.openxmlformats.org/officeDocument/2006/relationships/hyperlink" Target="FSSC22000_V7&#31227;&#34892;_&#12462;&#12515;&#12483;&#12503;&#20998;&#26512;&#12486;&#12531;&#12503;&#12524;&#12540;&#12488;.xlsx" TargetMode="External"/><Relationship Id="rId4" Type="http://schemas.openxmlformats.org/officeDocument/2006/relationships/hyperlink" Target="FSSC22000_V7&#31227;&#34892;_&#12462;&#12515;&#12483;&#12503;&#20998;&#26512;&#12486;&#12531;&#12503;&#12524;&#12540;&#12488;.xls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10"/>
  <sheetViews>
    <sheetView showGridLines="0" tabSelected="1" zoomScaleNormal="100" workbookViewId="0">
      <selection activeCell="G7" sqref="G7"/>
    </sheetView>
  </sheetViews>
  <sheetFormatPr defaultColWidth="8.7109375" defaultRowHeight="15"/>
  <cols>
    <col min="1" max="1" width="6" customWidth="1"/>
    <col min="2" max="2" width="22" customWidth="1"/>
    <col min="3" max="3" width="60" customWidth="1"/>
    <col min="4" max="4" width="8" customWidth="1"/>
  </cols>
  <sheetData>
    <row r="1" spans="1:4" ht="25.5" customHeight="1">
      <c r="A1" s="20" t="s">
        <v>0</v>
      </c>
      <c r="B1" s="20"/>
      <c r="C1" s="20"/>
      <c r="D1" s="20"/>
    </row>
    <row r="2" spans="1:4" ht="33.75" customHeight="1">
      <c r="A2" s="21" t="s">
        <v>1</v>
      </c>
      <c r="B2" s="21"/>
      <c r="C2" s="21"/>
      <c r="D2" s="21"/>
    </row>
    <row r="4" spans="1:4" ht="21.75" customHeight="1">
      <c r="A4" s="16" t="s">
        <v>2</v>
      </c>
      <c r="B4" s="16" t="s">
        <v>3</v>
      </c>
      <c r="C4" s="16" t="s">
        <v>4</v>
      </c>
      <c r="D4" s="16" t="s">
        <v>5</v>
      </c>
    </row>
    <row r="5" spans="1:4" ht="19.5" customHeight="1">
      <c r="A5" s="1" t="s">
        <v>6</v>
      </c>
      <c r="B5" s="1" t="s">
        <v>7</v>
      </c>
      <c r="C5" s="2" t="s">
        <v>8</v>
      </c>
      <c r="D5" s="3" t="s">
        <v>9</v>
      </c>
    </row>
    <row r="6" spans="1:4" ht="19.5" customHeight="1">
      <c r="A6" s="1" t="s">
        <v>10</v>
      </c>
      <c r="B6" s="1" t="s">
        <v>11</v>
      </c>
      <c r="C6" s="4" t="s">
        <v>12</v>
      </c>
      <c r="D6" s="3" t="s">
        <v>9</v>
      </c>
    </row>
    <row r="7" spans="1:4" ht="19.5" customHeight="1">
      <c r="A7" s="1" t="s">
        <v>13</v>
      </c>
      <c r="B7" s="1" t="s">
        <v>14</v>
      </c>
      <c r="C7" s="4" t="s">
        <v>15</v>
      </c>
      <c r="D7" s="3" t="s">
        <v>9</v>
      </c>
    </row>
    <row r="8" spans="1:4" ht="19.5" customHeight="1">
      <c r="A8" s="1" t="s">
        <v>16</v>
      </c>
      <c r="B8" s="1" t="s">
        <v>17</v>
      </c>
      <c r="C8" s="4" t="s">
        <v>18</v>
      </c>
      <c r="D8" s="3" t="s">
        <v>9</v>
      </c>
    </row>
    <row r="9" spans="1:4" ht="19.5" customHeight="1">
      <c r="A9" s="1" t="s">
        <v>19</v>
      </c>
      <c r="B9" s="1" t="s">
        <v>20</v>
      </c>
      <c r="C9" s="2" t="s">
        <v>21</v>
      </c>
      <c r="D9" s="3" t="s">
        <v>9</v>
      </c>
    </row>
    <row r="10" spans="1:4" ht="19.5" customHeight="1">
      <c r="A10" s="1" t="s">
        <v>22</v>
      </c>
      <c r="B10" s="1" t="s">
        <v>23</v>
      </c>
      <c r="C10" s="4" t="s">
        <v>24</v>
      </c>
      <c r="D10" s="3" t="s">
        <v>9</v>
      </c>
    </row>
  </sheetData>
  <mergeCells count="2">
    <mergeCell ref="A1:D1"/>
    <mergeCell ref="A2:D2"/>
  </mergeCells>
  <phoneticPr fontId="16"/>
  <hyperlinks>
    <hyperlink ref="D5" r:id="rId1" location="'4.1_PRP棚卸し'!A1" xr:uid="{00000000-0004-0000-0000-000000000000}"/>
    <hyperlink ref="D6" r:id="rId2" location="'4.2_食品安全文化'!A1" xr:uid="{00000000-0004-0000-0000-000001000000}"/>
    <hyperlink ref="D7" r:id="rId3" location="'4.3_食品ロスKPI'!A1" xr:uid="{00000000-0004-0000-0000-000002000000}"/>
    <hyperlink ref="D8" r:id="rId4" location="'4.4_表示管理'!A1" xr:uid="{00000000-0004-0000-0000-000003000000}"/>
    <hyperlink ref="D9" r:id="rId5" location="'4.5_AI利用リスク評価'!A1" xr:uid="{00000000-0004-0000-0000-000004000000}"/>
    <hyperlink ref="D10" r:id="rId6" location="'4.6_総合ギャップ分析'!A1" xr:uid="{00000000-0004-0000-0000-000005000000}"/>
  </hyperlinks>
  <pageMargins left="0.5" right="0.5" top="0.6" bottom="0.6" header="0.511811023622047" footer="0.511811023622047"/>
  <pageSetup fitToHeight="0" orientation="landscape" horizontalDpi="300" verticalDpi="3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zoomScaleNormal="100" workbookViewId="0">
      <pane ySplit="7" topLeftCell="A11" activePane="bottomLeft" state="frozen"/>
      <selection activeCell="C20" sqref="C20"/>
      <selection pane="bottomLeft" activeCell="B6" sqref="B6"/>
    </sheetView>
  </sheetViews>
  <sheetFormatPr defaultColWidth="8.7109375" defaultRowHeight="15"/>
  <cols>
    <col min="1" max="1" width="20" customWidth="1"/>
    <col min="2" max="2" width="30" customWidth="1"/>
    <col min="3" max="3" width="26" customWidth="1"/>
    <col min="4" max="4" width="24" customWidth="1"/>
    <col min="5" max="5" width="28" customWidth="1"/>
    <col min="6" max="8" width="14" customWidth="1"/>
  </cols>
  <sheetData>
    <row r="1" spans="1:8" ht="25.5" customHeight="1">
      <c r="A1" s="20" t="s">
        <v>25</v>
      </c>
      <c r="B1" s="20"/>
      <c r="C1" s="20"/>
      <c r="D1" s="20"/>
      <c r="E1" s="20"/>
      <c r="F1" s="20"/>
      <c r="G1" s="20"/>
      <c r="H1" s="20"/>
    </row>
    <row r="2" spans="1:8" ht="18" customHeight="1">
      <c r="A2" s="23" t="s">
        <v>26</v>
      </c>
      <c r="B2" s="23"/>
      <c r="C2" s="23"/>
      <c r="D2" s="23"/>
      <c r="E2" s="23"/>
      <c r="F2" s="23"/>
      <c r="G2" s="23"/>
      <c r="H2" s="23"/>
    </row>
    <row r="3" spans="1:8" ht="33.75" customHeight="1">
      <c r="A3" s="23" t="s">
        <v>132</v>
      </c>
      <c r="B3" s="23"/>
      <c r="C3" s="23"/>
      <c r="D3" s="23"/>
      <c r="E3" s="23"/>
      <c r="F3" s="23"/>
      <c r="G3" s="23"/>
      <c r="H3" s="23"/>
    </row>
    <row r="4" spans="1:8" ht="18" customHeight="1">
      <c r="A4" s="21" t="s">
        <v>27</v>
      </c>
      <c r="B4" s="21"/>
      <c r="C4" s="21"/>
      <c r="D4" s="21"/>
      <c r="E4" s="21"/>
      <c r="F4" s="21"/>
      <c r="G4" s="21"/>
      <c r="H4" s="21"/>
    </row>
    <row r="5" spans="1:8" ht="15.75" customHeight="1">
      <c r="A5" s="22" t="s">
        <v>28</v>
      </c>
      <c r="B5" s="22"/>
      <c r="C5" s="22"/>
      <c r="D5" s="22"/>
      <c r="E5" s="22"/>
      <c r="F5" s="22"/>
      <c r="G5" s="22"/>
      <c r="H5" s="22"/>
    </row>
    <row r="6" spans="1:8" ht="45.75" customHeight="1">
      <c r="A6" s="16" t="s">
        <v>29</v>
      </c>
      <c r="B6" s="16" t="s">
        <v>30</v>
      </c>
      <c r="C6" s="17" t="s">
        <v>31</v>
      </c>
      <c r="D6" s="16" t="s">
        <v>32</v>
      </c>
      <c r="E6" s="16" t="s">
        <v>33</v>
      </c>
      <c r="F6" s="16" t="s">
        <v>34</v>
      </c>
      <c r="G6" s="16" t="s">
        <v>35</v>
      </c>
      <c r="H6" s="16" t="s">
        <v>36</v>
      </c>
    </row>
    <row r="7" spans="1:8" ht="42">
      <c r="A7" s="5" t="s">
        <v>37</v>
      </c>
      <c r="B7" s="5" t="s">
        <v>38</v>
      </c>
      <c r="C7" s="6" t="s">
        <v>39</v>
      </c>
      <c r="D7" s="5" t="s">
        <v>40</v>
      </c>
      <c r="E7" s="5" t="s">
        <v>41</v>
      </c>
      <c r="F7" s="5" t="s">
        <v>42</v>
      </c>
      <c r="G7" s="5" t="s">
        <v>43</v>
      </c>
      <c r="H7" s="14">
        <v>46326</v>
      </c>
    </row>
    <row r="8" spans="1:8" ht="16.5">
      <c r="A8" s="7"/>
      <c r="B8" s="7"/>
      <c r="C8" s="7"/>
      <c r="D8" s="7"/>
      <c r="E8" s="7"/>
      <c r="F8" s="7"/>
      <c r="G8" s="7"/>
      <c r="H8" s="15"/>
    </row>
    <row r="9" spans="1:8" ht="24" customHeight="1">
      <c r="A9" s="7"/>
      <c r="B9" s="7"/>
      <c r="C9" s="7"/>
      <c r="D9" s="7"/>
      <c r="E9" s="7"/>
      <c r="F9" s="7"/>
      <c r="G9" s="7"/>
      <c r="H9" s="15"/>
    </row>
    <row r="10" spans="1:8" ht="24" customHeight="1">
      <c r="A10" s="7"/>
      <c r="B10" s="7"/>
      <c r="C10" s="7"/>
      <c r="D10" s="7"/>
      <c r="E10" s="7"/>
      <c r="F10" s="7"/>
      <c r="G10" s="7"/>
      <c r="H10" s="15"/>
    </row>
    <row r="11" spans="1:8" ht="24" customHeight="1">
      <c r="A11" s="7"/>
      <c r="B11" s="7"/>
      <c r="C11" s="7"/>
      <c r="D11" s="7"/>
      <c r="E11" s="7"/>
      <c r="F11" s="7"/>
      <c r="G11" s="7"/>
      <c r="H11" s="15"/>
    </row>
    <row r="12" spans="1:8" ht="24" customHeight="1">
      <c r="A12" s="7"/>
      <c r="B12" s="7"/>
      <c r="C12" s="7"/>
      <c r="D12" s="7"/>
      <c r="E12" s="7"/>
      <c r="F12" s="7"/>
      <c r="G12" s="7"/>
      <c r="H12" s="15"/>
    </row>
    <row r="13" spans="1:8" ht="24" customHeight="1">
      <c r="A13" s="7"/>
      <c r="B13" s="7"/>
      <c r="C13" s="7"/>
      <c r="D13" s="7"/>
      <c r="E13" s="7"/>
      <c r="F13" s="7"/>
      <c r="G13" s="7"/>
      <c r="H13" s="15"/>
    </row>
    <row r="14" spans="1:8" ht="24" customHeight="1">
      <c r="A14" s="7"/>
      <c r="B14" s="7"/>
      <c r="C14" s="7"/>
      <c r="D14" s="7"/>
      <c r="E14" s="7"/>
      <c r="F14" s="7"/>
      <c r="G14" s="7"/>
      <c r="H14" s="15"/>
    </row>
    <row r="15" spans="1:8" ht="24" customHeight="1">
      <c r="A15" s="7"/>
      <c r="B15" s="7"/>
      <c r="C15" s="7"/>
      <c r="D15" s="7"/>
      <c r="E15" s="7"/>
      <c r="F15" s="7"/>
      <c r="G15" s="7"/>
      <c r="H15" s="15"/>
    </row>
    <row r="16" spans="1:8" ht="24" customHeight="1">
      <c r="A16" s="7"/>
      <c r="B16" s="7"/>
      <c r="C16" s="7"/>
      <c r="D16" s="7"/>
      <c r="E16" s="7"/>
      <c r="F16" s="7"/>
      <c r="G16" s="7"/>
      <c r="H16" s="15"/>
    </row>
    <row r="17" spans="1:8" ht="24" customHeight="1">
      <c r="A17" s="7"/>
      <c r="B17" s="7"/>
      <c r="C17" s="7"/>
      <c r="D17" s="7"/>
      <c r="E17" s="7"/>
      <c r="F17" s="7"/>
      <c r="G17" s="7"/>
      <c r="H17" s="15"/>
    </row>
    <row r="18" spans="1:8" ht="24" customHeight="1">
      <c r="A18" s="7"/>
      <c r="B18" s="7"/>
      <c r="C18" s="7"/>
      <c r="D18" s="7"/>
      <c r="E18" s="7"/>
      <c r="F18" s="7"/>
      <c r="G18" s="7"/>
      <c r="H18" s="15"/>
    </row>
    <row r="19" spans="1:8" ht="24" customHeight="1">
      <c r="A19" s="7"/>
      <c r="B19" s="7"/>
      <c r="C19" s="7"/>
      <c r="D19" s="7"/>
      <c r="E19" s="7"/>
      <c r="F19" s="7"/>
      <c r="G19" s="7"/>
      <c r="H19" s="15"/>
    </row>
    <row r="20" spans="1:8" ht="24" customHeight="1">
      <c r="A20" s="7"/>
      <c r="B20" s="7"/>
      <c r="C20" s="7"/>
      <c r="D20" s="7"/>
      <c r="E20" s="7"/>
      <c r="F20" s="7"/>
      <c r="G20" s="7"/>
      <c r="H20" s="15"/>
    </row>
    <row r="21" spans="1:8" ht="24" customHeight="1">
      <c r="A21" s="7"/>
      <c r="B21" s="7"/>
      <c r="C21" s="7"/>
      <c r="D21" s="7"/>
      <c r="E21" s="7"/>
      <c r="F21" s="7"/>
      <c r="G21" s="7"/>
      <c r="H21" s="15"/>
    </row>
    <row r="23" spans="1:8" ht="15.75" customHeight="1">
      <c r="A23" s="22" t="s">
        <v>44</v>
      </c>
      <c r="B23" s="22"/>
      <c r="C23" s="22"/>
      <c r="D23" s="22"/>
      <c r="E23" s="22"/>
      <c r="F23" s="22"/>
      <c r="G23" s="22"/>
      <c r="H23" s="22"/>
    </row>
    <row r="24" spans="1:8" ht="16.5">
      <c r="A24" s="8" t="s">
        <v>45</v>
      </c>
      <c r="B24" s="9">
        <f>COUNTIF(F8:F21,"高")</f>
        <v>0</v>
      </c>
      <c r="C24" s="8" t="s">
        <v>42</v>
      </c>
      <c r="D24" s="9">
        <f>COUNTIF(F8:F21,"中")</f>
        <v>0</v>
      </c>
      <c r="E24" s="8" t="s">
        <v>46</v>
      </c>
      <c r="F24" s="9">
        <f>COUNTIF(F8:F21,"低")</f>
        <v>0</v>
      </c>
    </row>
  </sheetData>
  <mergeCells count="6">
    <mergeCell ref="A23:H23"/>
    <mergeCell ref="A1:H1"/>
    <mergeCell ref="A2:H2"/>
    <mergeCell ref="A3:H3"/>
    <mergeCell ref="A4:H4"/>
    <mergeCell ref="A5:H5"/>
  </mergeCells>
  <phoneticPr fontId="16"/>
  <dataValidations count="1">
    <dataValidation type="list" allowBlank="1" sqref="F8:F21" xr:uid="{00000000-0002-0000-0100-000000000000}">
      <formula1>"高,中,低"</formula1>
      <formula2>0</formula2>
    </dataValidation>
  </dataValidations>
  <pageMargins left="0.5" right="0.5" top="0.6" bottom="0.6" header="0.511811023622047" footer="0.511811023622047"/>
  <pageSetup scale="76" fitToHeight="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9"/>
  <sheetViews>
    <sheetView showGridLines="0" zoomScaleNormal="100" workbookViewId="0">
      <pane ySplit="6" topLeftCell="A7" activePane="bottomLeft" state="frozen"/>
      <selection activeCell="C20" sqref="C20"/>
      <selection pane="bottomLeft" activeCell="B5" sqref="B5"/>
    </sheetView>
  </sheetViews>
  <sheetFormatPr defaultColWidth="8.7109375" defaultRowHeight="15"/>
  <cols>
    <col min="1" max="1" width="40" customWidth="1"/>
    <col min="2" max="2" width="12" customWidth="1"/>
    <col min="3" max="3" width="26" customWidth="1"/>
    <col min="4" max="4" width="30" customWidth="1"/>
    <col min="5" max="6" width="14" customWidth="1"/>
  </cols>
  <sheetData>
    <row r="1" spans="1:6" ht="25.5" customHeight="1">
      <c r="A1" s="20" t="s">
        <v>47</v>
      </c>
      <c r="B1" s="20"/>
      <c r="C1" s="20"/>
      <c r="D1" s="20"/>
      <c r="E1" s="20"/>
      <c r="F1" s="20"/>
    </row>
    <row r="2" spans="1:6" ht="18" customHeight="1">
      <c r="A2" s="21" t="s">
        <v>48</v>
      </c>
      <c r="B2" s="21"/>
      <c r="C2" s="21"/>
      <c r="D2" s="21"/>
      <c r="E2" s="21"/>
      <c r="F2" s="21"/>
    </row>
    <row r="3" spans="1:6" ht="18" customHeight="1">
      <c r="A3" s="21" t="s">
        <v>49</v>
      </c>
      <c r="B3" s="21"/>
      <c r="C3" s="21"/>
      <c r="D3" s="21"/>
      <c r="E3" s="21"/>
      <c r="F3" s="21"/>
    </row>
    <row r="4" spans="1:6" ht="15.75" customHeight="1">
      <c r="A4" s="22" t="s">
        <v>50</v>
      </c>
      <c r="B4" s="22"/>
      <c r="C4" s="22"/>
      <c r="D4" s="22"/>
      <c r="E4" s="22"/>
      <c r="F4" s="22"/>
    </row>
    <row r="5" spans="1:6" ht="45.75" customHeight="1">
      <c r="A5" s="16" t="s">
        <v>51</v>
      </c>
      <c r="B5" s="16" t="s">
        <v>52</v>
      </c>
      <c r="C5" s="16" t="s">
        <v>32</v>
      </c>
      <c r="D5" s="16" t="s">
        <v>53</v>
      </c>
      <c r="E5" s="16" t="s">
        <v>35</v>
      </c>
      <c r="F5" s="16" t="s">
        <v>36</v>
      </c>
    </row>
    <row r="6" spans="1:6" ht="30" customHeight="1">
      <c r="A6" s="5" t="s">
        <v>54</v>
      </c>
      <c r="B6" s="6" t="s">
        <v>55</v>
      </c>
      <c r="C6" s="5" t="s">
        <v>56</v>
      </c>
      <c r="D6" s="5" t="s">
        <v>57</v>
      </c>
      <c r="E6" s="5" t="s">
        <v>43</v>
      </c>
      <c r="F6" s="14">
        <v>46341</v>
      </c>
    </row>
    <row r="7" spans="1:6" ht="26.1" customHeight="1">
      <c r="A7" s="10" t="s">
        <v>58</v>
      </c>
      <c r="B7" s="7"/>
      <c r="C7" s="10"/>
      <c r="D7" s="10"/>
      <c r="E7" s="10"/>
      <c r="F7" s="15"/>
    </row>
    <row r="8" spans="1:6" ht="26.1" customHeight="1">
      <c r="A8" s="10" t="s">
        <v>59</v>
      </c>
      <c r="B8" s="7"/>
      <c r="C8" s="10"/>
      <c r="D8" s="10"/>
      <c r="E8" s="10"/>
      <c r="F8" s="15"/>
    </row>
    <row r="9" spans="1:6" ht="26.1" customHeight="1">
      <c r="A9" s="10" t="s">
        <v>60</v>
      </c>
      <c r="B9" s="7"/>
      <c r="C9" s="10"/>
      <c r="D9" s="10"/>
      <c r="E9" s="10"/>
      <c r="F9" s="15"/>
    </row>
    <row r="10" spans="1:6" ht="26.1" customHeight="1">
      <c r="A10" s="10" t="s">
        <v>61</v>
      </c>
      <c r="B10" s="7"/>
      <c r="C10" s="10"/>
      <c r="D10" s="10"/>
      <c r="E10" s="10"/>
      <c r="F10" s="15"/>
    </row>
    <row r="11" spans="1:6" ht="26.1" customHeight="1">
      <c r="A11" s="10" t="s">
        <v>62</v>
      </c>
      <c r="B11" s="7"/>
      <c r="C11" s="10"/>
      <c r="D11" s="10"/>
      <c r="E11" s="10"/>
      <c r="F11" s="15"/>
    </row>
    <row r="12" spans="1:6" ht="26.1" customHeight="1">
      <c r="A12" s="10" t="s">
        <v>63</v>
      </c>
      <c r="B12" s="7"/>
      <c r="C12" s="10"/>
      <c r="D12" s="10"/>
      <c r="E12" s="10"/>
      <c r="F12" s="15"/>
    </row>
    <row r="13" spans="1:6" ht="26.1" customHeight="1">
      <c r="A13" s="10" t="s">
        <v>64</v>
      </c>
      <c r="B13" s="7"/>
      <c r="C13" s="10"/>
      <c r="D13" s="10"/>
      <c r="E13" s="10"/>
      <c r="F13" s="15"/>
    </row>
    <row r="14" spans="1:6" ht="26.1" customHeight="1">
      <c r="A14" s="10"/>
      <c r="B14" s="7"/>
      <c r="C14" s="10"/>
      <c r="D14" s="10"/>
      <c r="E14" s="10"/>
      <c r="F14" s="15"/>
    </row>
    <row r="15" spans="1:6" ht="26.1" customHeight="1">
      <c r="A15" s="10"/>
      <c r="B15" s="7"/>
      <c r="C15" s="10"/>
      <c r="D15" s="10"/>
      <c r="E15" s="10"/>
      <c r="F15" s="15"/>
    </row>
    <row r="16" spans="1:6" ht="26.1" customHeight="1">
      <c r="A16" s="10"/>
      <c r="B16" s="7"/>
      <c r="C16" s="10"/>
      <c r="D16" s="10"/>
      <c r="E16" s="10"/>
      <c r="F16" s="15"/>
    </row>
    <row r="18" spans="1:6" ht="15.75" customHeight="1">
      <c r="A18" s="22" t="s">
        <v>65</v>
      </c>
      <c r="B18" s="22"/>
      <c r="C18" s="22"/>
      <c r="D18" s="22"/>
      <c r="E18" s="22"/>
      <c r="F18" s="22"/>
    </row>
    <row r="19" spans="1:6" ht="16.5">
      <c r="A19" s="11" t="s">
        <v>66</v>
      </c>
      <c r="B19" s="9">
        <f>COUNTIF(B7:B16,"○")</f>
        <v>0</v>
      </c>
      <c r="C19" s="11" t="s">
        <v>55</v>
      </c>
      <c r="D19" s="9">
        <f>COUNTIF(B7:B16,"△")</f>
        <v>0</v>
      </c>
      <c r="E19" s="11" t="s">
        <v>67</v>
      </c>
      <c r="F19" s="9">
        <f>COUNTIF(B7:B16,"×")</f>
        <v>0</v>
      </c>
    </row>
  </sheetData>
  <mergeCells count="5">
    <mergeCell ref="A1:F1"/>
    <mergeCell ref="A2:F2"/>
    <mergeCell ref="A3:F3"/>
    <mergeCell ref="A4:F4"/>
    <mergeCell ref="A18:F18"/>
  </mergeCells>
  <phoneticPr fontId="16"/>
  <dataValidations count="1">
    <dataValidation type="list" allowBlank="1" sqref="B7:B16" xr:uid="{00000000-0002-0000-0200-000000000000}">
      <formula1>"○,△,×"</formula1>
      <formula2>0</formula2>
    </dataValidation>
  </dataValidations>
  <pageMargins left="0.5" right="0.5" top="0.6" bottom="0.6"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19"/>
  <sheetViews>
    <sheetView showGridLines="0" zoomScaleNormal="100" workbookViewId="0">
      <pane ySplit="7" topLeftCell="A8" activePane="bottomLeft" state="frozen"/>
      <selection activeCell="C20" sqref="C20"/>
      <selection pane="bottomLeft" activeCell="C7" sqref="C7"/>
    </sheetView>
  </sheetViews>
  <sheetFormatPr defaultColWidth="8.7109375" defaultRowHeight="15"/>
  <cols>
    <col min="1" max="1" width="16" customWidth="1"/>
    <col min="2" max="2" width="26" customWidth="1"/>
    <col min="3" max="3" width="16" customWidth="1"/>
    <col min="4" max="4" width="24" customWidth="1"/>
    <col min="5" max="5" width="26" customWidth="1"/>
    <col min="6" max="6" width="20" customWidth="1"/>
    <col min="7" max="7" width="26" customWidth="1"/>
    <col min="8" max="9" width="14" customWidth="1"/>
  </cols>
  <sheetData>
    <row r="1" spans="1:9" ht="25.5" customHeight="1">
      <c r="A1" s="20" t="s">
        <v>68</v>
      </c>
      <c r="B1" s="20"/>
      <c r="C1" s="20"/>
      <c r="D1" s="20"/>
      <c r="E1" s="20"/>
      <c r="F1" s="20"/>
      <c r="G1" s="20"/>
      <c r="H1" s="20"/>
      <c r="I1" s="20"/>
    </row>
    <row r="2" spans="1:9" ht="18" customHeight="1">
      <c r="A2" s="24" t="s">
        <v>133</v>
      </c>
      <c r="B2" s="21"/>
      <c r="C2" s="21"/>
      <c r="D2" s="21"/>
      <c r="E2" s="21"/>
      <c r="F2" s="21"/>
      <c r="G2" s="21"/>
      <c r="H2" s="21"/>
      <c r="I2" s="21"/>
    </row>
    <row r="3" spans="1:9" ht="18" customHeight="1">
      <c r="A3" s="21" t="s">
        <v>69</v>
      </c>
      <c r="B3" s="21"/>
      <c r="C3" s="21"/>
      <c r="D3" s="21"/>
      <c r="E3" s="21"/>
      <c r="F3" s="21"/>
      <c r="G3" s="21"/>
      <c r="H3" s="21"/>
      <c r="I3" s="21"/>
    </row>
    <row r="4" spans="1:9" ht="18" customHeight="1">
      <c r="A4" s="21" t="s">
        <v>70</v>
      </c>
      <c r="B4" s="21"/>
      <c r="C4" s="21"/>
      <c r="D4" s="21"/>
      <c r="E4" s="21"/>
      <c r="F4" s="21"/>
      <c r="G4" s="21"/>
      <c r="H4" s="21"/>
      <c r="I4" s="21"/>
    </row>
    <row r="5" spans="1:9" ht="15.75" customHeight="1">
      <c r="A5" s="22" t="s">
        <v>71</v>
      </c>
      <c r="B5" s="22"/>
      <c r="C5" s="22"/>
      <c r="D5" s="22"/>
      <c r="E5" s="22"/>
      <c r="F5" s="22"/>
      <c r="G5" s="22"/>
      <c r="H5" s="22"/>
      <c r="I5" s="22"/>
    </row>
    <row r="6" spans="1:9" ht="45.75" customHeight="1">
      <c r="A6" s="16" t="s">
        <v>72</v>
      </c>
      <c r="B6" s="16" t="s">
        <v>73</v>
      </c>
      <c r="C6" s="16" t="s">
        <v>74</v>
      </c>
      <c r="D6" s="16" t="s">
        <v>75</v>
      </c>
      <c r="E6" s="16" t="s">
        <v>76</v>
      </c>
      <c r="F6" s="16" t="s">
        <v>77</v>
      </c>
      <c r="G6" s="16" t="s">
        <v>78</v>
      </c>
      <c r="H6" s="16" t="s">
        <v>35</v>
      </c>
      <c r="I6" s="16" t="s">
        <v>79</v>
      </c>
    </row>
    <row r="7" spans="1:9" ht="30" customHeight="1">
      <c r="A7" s="5" t="s">
        <v>80</v>
      </c>
      <c r="B7" s="5" t="s">
        <v>81</v>
      </c>
      <c r="C7" s="6" t="s">
        <v>82</v>
      </c>
      <c r="D7" s="5" t="s">
        <v>83</v>
      </c>
      <c r="E7" s="5" t="s">
        <v>84</v>
      </c>
      <c r="F7" s="5" t="s">
        <v>85</v>
      </c>
      <c r="G7" s="6" t="s">
        <v>86</v>
      </c>
      <c r="H7" s="5" t="s">
        <v>87</v>
      </c>
      <c r="I7" s="12">
        <v>46357</v>
      </c>
    </row>
    <row r="8" spans="1:9" ht="24" customHeight="1">
      <c r="A8" s="10"/>
      <c r="B8" s="10"/>
      <c r="C8" s="10"/>
      <c r="D8" s="10"/>
      <c r="E8" s="10"/>
      <c r="F8" s="10"/>
      <c r="G8" s="10"/>
      <c r="H8" s="10"/>
      <c r="I8" s="13"/>
    </row>
    <row r="9" spans="1:9" ht="24" customHeight="1">
      <c r="A9" s="10"/>
      <c r="B9" s="10"/>
      <c r="C9" s="10"/>
      <c r="D9" s="10"/>
      <c r="E9" s="10"/>
      <c r="F9" s="10"/>
      <c r="G9" s="10"/>
      <c r="H9" s="10"/>
      <c r="I9" s="13"/>
    </row>
    <row r="10" spans="1:9" ht="24" customHeight="1">
      <c r="A10" s="10"/>
      <c r="B10" s="10"/>
      <c r="C10" s="10"/>
      <c r="D10" s="10"/>
      <c r="E10" s="10"/>
      <c r="F10" s="10"/>
      <c r="G10" s="10"/>
      <c r="H10" s="10"/>
      <c r="I10" s="13"/>
    </row>
    <row r="11" spans="1:9" ht="24" customHeight="1">
      <c r="A11" s="10"/>
      <c r="B11" s="10"/>
      <c r="C11" s="10"/>
      <c r="D11" s="10"/>
      <c r="E11" s="10"/>
      <c r="F11" s="10"/>
      <c r="G11" s="10"/>
      <c r="H11" s="10"/>
      <c r="I11" s="13"/>
    </row>
    <row r="12" spans="1:9" ht="24" customHeight="1">
      <c r="A12" s="10"/>
      <c r="B12" s="10"/>
      <c r="C12" s="10"/>
      <c r="D12" s="10"/>
      <c r="E12" s="10"/>
      <c r="F12" s="10"/>
      <c r="G12" s="10"/>
      <c r="H12" s="10"/>
      <c r="I12" s="13"/>
    </row>
    <row r="13" spans="1:9" ht="24" customHeight="1">
      <c r="A13" s="10"/>
      <c r="B13" s="10"/>
      <c r="C13" s="10"/>
      <c r="D13" s="10"/>
      <c r="E13" s="10"/>
      <c r="F13" s="10"/>
      <c r="G13" s="10"/>
      <c r="H13" s="10"/>
      <c r="I13" s="13"/>
    </row>
    <row r="14" spans="1:9" ht="24" customHeight="1">
      <c r="A14" s="10"/>
      <c r="B14" s="10"/>
      <c r="C14" s="10"/>
      <c r="D14" s="10"/>
      <c r="E14" s="10"/>
      <c r="F14" s="10"/>
      <c r="G14" s="10"/>
      <c r="H14" s="10"/>
      <c r="I14" s="13"/>
    </row>
    <row r="15" spans="1:9" ht="24" customHeight="1">
      <c r="A15" s="10"/>
      <c r="B15" s="10"/>
      <c r="C15" s="10"/>
      <c r="D15" s="10"/>
      <c r="E15" s="10"/>
      <c r="F15" s="10"/>
      <c r="G15" s="10"/>
      <c r="H15" s="10"/>
      <c r="I15" s="13"/>
    </row>
    <row r="16" spans="1:9" ht="24" customHeight="1">
      <c r="A16" s="10"/>
      <c r="B16" s="10"/>
      <c r="C16" s="10"/>
      <c r="D16" s="10"/>
      <c r="E16" s="10"/>
      <c r="F16" s="10"/>
      <c r="G16" s="10"/>
      <c r="H16" s="10"/>
      <c r="I16" s="13"/>
    </row>
    <row r="17" spans="1:9" ht="24" customHeight="1">
      <c r="A17" s="10"/>
      <c r="B17" s="10"/>
      <c r="C17" s="10"/>
      <c r="D17" s="10"/>
      <c r="E17" s="10"/>
      <c r="F17" s="10"/>
      <c r="G17" s="10"/>
      <c r="H17" s="10"/>
      <c r="I17" s="13"/>
    </row>
    <row r="18" spans="1:9" ht="24" customHeight="1">
      <c r="A18" s="10"/>
      <c r="B18" s="10"/>
      <c r="C18" s="10"/>
      <c r="D18" s="10"/>
      <c r="E18" s="10"/>
      <c r="F18" s="10"/>
      <c r="G18" s="10"/>
      <c r="H18" s="10"/>
      <c r="I18" s="13"/>
    </row>
    <row r="19" spans="1:9" ht="24" customHeight="1">
      <c r="A19" s="10"/>
      <c r="B19" s="10"/>
      <c r="C19" s="10"/>
      <c r="D19" s="10"/>
      <c r="E19" s="10"/>
      <c r="F19" s="10"/>
      <c r="G19" s="10"/>
      <c r="H19" s="10"/>
      <c r="I19" s="13"/>
    </row>
  </sheetData>
  <mergeCells count="5">
    <mergeCell ref="A1:I1"/>
    <mergeCell ref="A2:I2"/>
    <mergeCell ref="A3:I3"/>
    <mergeCell ref="A4:I4"/>
    <mergeCell ref="A5:I5"/>
  </mergeCells>
  <phoneticPr fontId="16"/>
  <pageMargins left="0.5" right="0.5" top="0.6" bottom="0.6"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20"/>
  <sheetViews>
    <sheetView showGridLines="0" zoomScaleNormal="100" workbookViewId="0">
      <pane ySplit="6" topLeftCell="A7" activePane="bottomLeft" state="frozen"/>
      <selection activeCell="C20" sqref="C20"/>
      <selection pane="bottomLeft" activeCell="B8" sqref="B8"/>
    </sheetView>
  </sheetViews>
  <sheetFormatPr defaultColWidth="8.7109375" defaultRowHeight="15"/>
  <cols>
    <col min="1" max="1" width="33.85546875" customWidth="1"/>
    <col min="2" max="2" width="10.28515625" bestFit="1" customWidth="1"/>
    <col min="3" max="3" width="26" customWidth="1"/>
    <col min="4" max="4" width="30" customWidth="1"/>
    <col min="5" max="6" width="14" customWidth="1"/>
  </cols>
  <sheetData>
    <row r="1" spans="1:6" ht="25.5" customHeight="1">
      <c r="A1" s="20" t="s">
        <v>88</v>
      </c>
      <c r="B1" s="20"/>
      <c r="C1" s="20"/>
      <c r="D1" s="20"/>
      <c r="E1" s="20"/>
      <c r="F1" s="20"/>
    </row>
    <row r="2" spans="1:6" ht="32.25" customHeight="1">
      <c r="A2" s="23" t="s">
        <v>134</v>
      </c>
      <c r="B2" s="23"/>
      <c r="C2" s="23"/>
      <c r="D2" s="23"/>
      <c r="E2" s="23"/>
      <c r="F2" s="23"/>
    </row>
    <row r="3" spans="1:6" ht="18" customHeight="1">
      <c r="A3" s="21" t="s">
        <v>89</v>
      </c>
      <c r="B3" s="21"/>
      <c r="C3" s="21"/>
      <c r="D3" s="21"/>
      <c r="E3" s="21"/>
      <c r="F3" s="21"/>
    </row>
    <row r="4" spans="1:6" ht="15.75" customHeight="1">
      <c r="A4" s="22" t="s">
        <v>50</v>
      </c>
      <c r="B4" s="22"/>
      <c r="C4" s="22"/>
      <c r="D4" s="22"/>
      <c r="E4" s="22"/>
      <c r="F4" s="22"/>
    </row>
    <row r="5" spans="1:6" ht="28.5">
      <c r="A5" s="16" t="s">
        <v>51</v>
      </c>
      <c r="B5" s="19" t="s">
        <v>137</v>
      </c>
      <c r="C5" s="16" t="s">
        <v>32</v>
      </c>
      <c r="D5" s="16" t="s">
        <v>53</v>
      </c>
      <c r="E5" s="16" t="s">
        <v>35</v>
      </c>
      <c r="F5" s="16" t="s">
        <v>36</v>
      </c>
    </row>
    <row r="6" spans="1:6" ht="33" customHeight="1">
      <c r="A6" s="5" t="s">
        <v>90</v>
      </c>
      <c r="B6" s="6" t="s">
        <v>66</v>
      </c>
      <c r="C6" s="5" t="s">
        <v>91</v>
      </c>
      <c r="D6" s="5" t="s">
        <v>92</v>
      </c>
      <c r="E6" s="5" t="s">
        <v>93</v>
      </c>
      <c r="F6" s="14">
        <v>46295</v>
      </c>
    </row>
    <row r="7" spans="1:6" ht="30" customHeight="1">
      <c r="A7" s="10" t="s">
        <v>94</v>
      </c>
      <c r="B7" s="7"/>
      <c r="C7" s="10"/>
      <c r="D7" s="10"/>
      <c r="E7" s="10"/>
      <c r="F7" s="15"/>
    </row>
    <row r="8" spans="1:6" ht="30" customHeight="1">
      <c r="A8" s="10" t="s">
        <v>95</v>
      </c>
      <c r="B8" s="7"/>
      <c r="C8" s="10"/>
      <c r="D8" s="10"/>
      <c r="E8" s="10"/>
      <c r="F8" s="15"/>
    </row>
    <row r="9" spans="1:6" ht="30" customHeight="1">
      <c r="A9" s="10" t="s">
        <v>96</v>
      </c>
      <c r="B9" s="7"/>
      <c r="C9" s="10"/>
      <c r="D9" s="10"/>
      <c r="E9" s="10"/>
      <c r="F9" s="15"/>
    </row>
    <row r="10" spans="1:6" ht="30" customHeight="1">
      <c r="A10" s="10" t="s">
        <v>97</v>
      </c>
      <c r="B10" s="7"/>
      <c r="C10" s="10"/>
      <c r="D10" s="10"/>
      <c r="E10" s="10"/>
      <c r="F10" s="15"/>
    </row>
    <row r="11" spans="1:6" ht="30" customHeight="1">
      <c r="A11" s="10" t="s">
        <v>98</v>
      </c>
      <c r="B11" s="7"/>
      <c r="C11" s="10"/>
      <c r="D11" s="10"/>
      <c r="E11" s="10"/>
      <c r="F11" s="15"/>
    </row>
    <row r="12" spans="1:6" ht="30" customHeight="1">
      <c r="A12" s="10" t="s">
        <v>99</v>
      </c>
      <c r="B12" s="7"/>
      <c r="C12" s="10"/>
      <c r="D12" s="10"/>
      <c r="E12" s="10"/>
      <c r="F12" s="15"/>
    </row>
    <row r="13" spans="1:6" ht="30" customHeight="1">
      <c r="A13" s="10" t="s">
        <v>100</v>
      </c>
      <c r="B13" s="7"/>
      <c r="C13" s="10"/>
      <c r="D13" s="10"/>
      <c r="E13" s="10"/>
      <c r="F13" s="15"/>
    </row>
    <row r="14" spans="1:6" ht="30" customHeight="1">
      <c r="A14" s="10" t="s">
        <v>101</v>
      </c>
      <c r="B14" s="7"/>
      <c r="C14" s="10"/>
      <c r="D14" s="10"/>
      <c r="E14" s="10"/>
      <c r="F14" s="15"/>
    </row>
    <row r="15" spans="1:6" ht="33" customHeight="1">
      <c r="A15" s="18" t="s">
        <v>136</v>
      </c>
      <c r="B15" s="7"/>
      <c r="C15" s="10"/>
      <c r="D15" s="10"/>
      <c r="E15" s="10"/>
      <c r="F15" s="15"/>
    </row>
    <row r="16" spans="1:6" ht="33" customHeight="1">
      <c r="A16" s="18" t="s">
        <v>135</v>
      </c>
      <c r="B16" s="7"/>
      <c r="C16" s="10"/>
      <c r="D16" s="10"/>
      <c r="E16" s="10"/>
      <c r="F16" s="15"/>
    </row>
    <row r="17" spans="1:6" ht="33" customHeight="1">
      <c r="A17" s="10"/>
      <c r="B17" s="7"/>
      <c r="C17" s="10"/>
      <c r="D17" s="10"/>
      <c r="E17" s="10"/>
      <c r="F17" s="15"/>
    </row>
    <row r="19" spans="1:6" ht="15.75" customHeight="1">
      <c r="A19" s="22" t="s">
        <v>65</v>
      </c>
      <c r="B19" s="22"/>
      <c r="C19" s="22"/>
      <c r="D19" s="22"/>
      <c r="E19" s="22"/>
      <c r="F19" s="22"/>
    </row>
    <row r="20" spans="1:6" ht="16.5">
      <c r="A20" s="11" t="s">
        <v>66</v>
      </c>
      <c r="B20" s="9">
        <f>COUNTIF(B7:B17,"○")</f>
        <v>0</v>
      </c>
      <c r="C20" s="11" t="s">
        <v>55</v>
      </c>
      <c r="D20" s="9">
        <f>COUNTIF(B7:B17,"△")</f>
        <v>0</v>
      </c>
      <c r="E20" s="11" t="s">
        <v>67</v>
      </c>
      <c r="F20" s="9">
        <f>COUNTIF(B7:B17,"×")</f>
        <v>0</v>
      </c>
    </row>
  </sheetData>
  <mergeCells count="5">
    <mergeCell ref="A1:F1"/>
    <mergeCell ref="A2:F2"/>
    <mergeCell ref="A3:F3"/>
    <mergeCell ref="A4:F4"/>
    <mergeCell ref="A19:F19"/>
  </mergeCells>
  <phoneticPr fontId="16"/>
  <dataValidations count="1">
    <dataValidation type="list" allowBlank="1" sqref="B7:B17" xr:uid="{00000000-0002-0000-0400-000000000000}">
      <formula1>"○,△,×"</formula1>
      <formula2>0</formula2>
    </dataValidation>
  </dataValidations>
  <pageMargins left="0.5" right="0.5" top="0.6" bottom="0.6" header="0.511811023622047" footer="0.511811023622047"/>
  <pageSetup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14"/>
  <sheetViews>
    <sheetView showGridLines="0" zoomScaleNormal="100" workbookViewId="0">
      <pane ySplit="6" topLeftCell="A7" activePane="bottomLeft" state="frozen"/>
      <selection activeCell="C20" sqref="C20"/>
      <selection pane="bottomLeft" activeCell="A19" sqref="A19"/>
    </sheetView>
  </sheetViews>
  <sheetFormatPr defaultColWidth="8.7109375" defaultRowHeight="15"/>
  <cols>
    <col min="1" max="1" width="24" customWidth="1"/>
    <col min="2" max="2" width="22" customWidth="1"/>
    <col min="3" max="4" width="26" customWidth="1"/>
    <col min="5" max="5" width="22" customWidth="1"/>
    <col min="6" max="6" width="24" customWidth="1"/>
    <col min="7" max="8" width="14" customWidth="1"/>
  </cols>
  <sheetData>
    <row r="1" spans="1:8" ht="25.5" customHeight="1">
      <c r="A1" s="20" t="s">
        <v>102</v>
      </c>
      <c r="B1" s="20"/>
      <c r="C1" s="20"/>
      <c r="D1" s="20"/>
      <c r="E1" s="20"/>
      <c r="F1" s="20"/>
      <c r="G1" s="20"/>
      <c r="H1" s="20"/>
    </row>
    <row r="2" spans="1:8" ht="34.5" customHeight="1">
      <c r="A2" s="23" t="s">
        <v>138</v>
      </c>
      <c r="B2" s="23"/>
      <c r="C2" s="23"/>
      <c r="D2" s="23"/>
      <c r="E2" s="23"/>
      <c r="F2" s="23"/>
      <c r="G2" s="23"/>
      <c r="H2" s="23"/>
    </row>
    <row r="3" spans="1:8" ht="18" customHeight="1">
      <c r="A3" s="23" t="s">
        <v>103</v>
      </c>
      <c r="B3" s="23"/>
      <c r="C3" s="23"/>
      <c r="D3" s="23"/>
      <c r="E3" s="23"/>
      <c r="F3" s="23"/>
      <c r="G3" s="23"/>
      <c r="H3" s="23"/>
    </row>
    <row r="4" spans="1:8" ht="15.75" customHeight="1">
      <c r="A4" s="22" t="s">
        <v>104</v>
      </c>
      <c r="B4" s="22"/>
      <c r="C4" s="22"/>
      <c r="D4" s="22"/>
      <c r="E4" s="22"/>
      <c r="F4" s="22"/>
      <c r="G4" s="22"/>
      <c r="H4" s="22"/>
    </row>
    <row r="5" spans="1:8" ht="45.75" customHeight="1">
      <c r="A5" s="16" t="s">
        <v>105</v>
      </c>
      <c r="B5" s="16" t="s">
        <v>106</v>
      </c>
      <c r="C5" s="16" t="s">
        <v>107</v>
      </c>
      <c r="D5" s="16" t="s">
        <v>108</v>
      </c>
      <c r="E5" s="16" t="s">
        <v>109</v>
      </c>
      <c r="F5" s="16" t="s">
        <v>110</v>
      </c>
      <c r="G5" s="16" t="s">
        <v>35</v>
      </c>
      <c r="H5" s="16" t="s">
        <v>79</v>
      </c>
    </row>
    <row r="6" spans="1:8" ht="38.25">
      <c r="A6" s="5" t="s">
        <v>111</v>
      </c>
      <c r="B6" s="5" t="s">
        <v>112</v>
      </c>
      <c r="C6" s="5" t="s">
        <v>113</v>
      </c>
      <c r="D6" s="5" t="s">
        <v>114</v>
      </c>
      <c r="E6" s="5" t="s">
        <v>115</v>
      </c>
      <c r="F6" s="5" t="s">
        <v>116</v>
      </c>
      <c r="G6" s="5" t="s">
        <v>117</v>
      </c>
      <c r="H6" s="14">
        <v>46371</v>
      </c>
    </row>
    <row r="7" spans="1:8" ht="24" customHeight="1">
      <c r="A7" s="10"/>
      <c r="B7" s="10"/>
      <c r="C7" s="10"/>
      <c r="D7" s="10"/>
      <c r="E7" s="10"/>
      <c r="F7" s="10"/>
      <c r="G7" s="10"/>
      <c r="H7" s="15"/>
    </row>
    <row r="8" spans="1:8" ht="24" customHeight="1">
      <c r="A8" s="10"/>
      <c r="B8" s="10"/>
      <c r="C8" s="10"/>
      <c r="D8" s="10"/>
      <c r="E8" s="10"/>
      <c r="F8" s="10"/>
      <c r="G8" s="10"/>
      <c r="H8" s="15"/>
    </row>
    <row r="9" spans="1:8" ht="24" customHeight="1">
      <c r="A9" s="10"/>
      <c r="B9" s="10"/>
      <c r="C9" s="10"/>
      <c r="D9" s="10"/>
      <c r="E9" s="10"/>
      <c r="F9" s="10"/>
      <c r="G9" s="10"/>
      <c r="H9" s="15"/>
    </row>
    <row r="10" spans="1:8" ht="24" customHeight="1">
      <c r="A10" s="10"/>
      <c r="B10" s="10"/>
      <c r="C10" s="10"/>
      <c r="D10" s="10"/>
      <c r="E10" s="10"/>
      <c r="F10" s="10"/>
      <c r="G10" s="10"/>
      <c r="H10" s="15"/>
    </row>
    <row r="11" spans="1:8" ht="24" customHeight="1">
      <c r="A11" s="10"/>
      <c r="B11" s="10"/>
      <c r="C11" s="10"/>
      <c r="D11" s="10"/>
      <c r="E11" s="10"/>
      <c r="F11" s="10"/>
      <c r="G11" s="10"/>
      <c r="H11" s="15"/>
    </row>
    <row r="12" spans="1:8" ht="24" customHeight="1">
      <c r="A12" s="10"/>
      <c r="B12" s="10"/>
      <c r="C12" s="10"/>
      <c r="D12" s="10"/>
      <c r="E12" s="10"/>
      <c r="F12" s="10"/>
      <c r="G12" s="10"/>
      <c r="H12" s="15"/>
    </row>
    <row r="13" spans="1:8" ht="24" customHeight="1">
      <c r="A13" s="10"/>
      <c r="B13" s="10"/>
      <c r="C13" s="10"/>
      <c r="D13" s="10"/>
      <c r="E13" s="10"/>
      <c r="F13" s="10"/>
      <c r="G13" s="10"/>
      <c r="H13" s="15"/>
    </row>
    <row r="14" spans="1:8" ht="24" customHeight="1">
      <c r="A14" s="10"/>
      <c r="B14" s="10"/>
      <c r="C14" s="10"/>
      <c r="D14" s="10"/>
      <c r="E14" s="10"/>
      <c r="F14" s="10"/>
      <c r="G14" s="10"/>
      <c r="H14" s="15"/>
    </row>
  </sheetData>
  <mergeCells count="4">
    <mergeCell ref="A1:H1"/>
    <mergeCell ref="A2:H2"/>
    <mergeCell ref="A3:H3"/>
    <mergeCell ref="A4:H4"/>
  </mergeCells>
  <phoneticPr fontId="16"/>
  <pageMargins left="0.5" right="0.5" top="0.6" bottom="0.6" header="0.511811023622047" footer="0.511811023622047"/>
  <pageSetup scale="75" fitToHeight="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zoomScaleNormal="100" workbookViewId="0">
      <pane ySplit="6" topLeftCell="A7" activePane="bottomLeft" state="frozen"/>
      <selection activeCell="C20" sqref="C20"/>
      <selection pane="bottomLeft" activeCell="B14" sqref="B14"/>
    </sheetView>
  </sheetViews>
  <sheetFormatPr defaultColWidth="8.7109375" defaultRowHeight="15"/>
  <cols>
    <col min="1" max="1" width="26" customWidth="1"/>
    <col min="2" max="2" width="12" customWidth="1"/>
    <col min="3" max="3" width="24" customWidth="1"/>
    <col min="4" max="4" width="28" customWidth="1"/>
    <col min="5" max="7" width="14" customWidth="1"/>
    <col min="8" max="8" width="16" customWidth="1"/>
  </cols>
  <sheetData>
    <row r="1" spans="1:8" ht="25.5" customHeight="1">
      <c r="A1" s="20" t="s">
        <v>118</v>
      </c>
      <c r="B1" s="20"/>
      <c r="C1" s="20"/>
      <c r="D1" s="20"/>
      <c r="E1" s="20"/>
      <c r="F1" s="20"/>
      <c r="G1" s="20"/>
      <c r="H1" s="20"/>
    </row>
    <row r="2" spans="1:8" ht="18" customHeight="1">
      <c r="A2" s="21" t="s">
        <v>119</v>
      </c>
      <c r="B2" s="21"/>
      <c r="C2" s="21"/>
      <c r="D2" s="21"/>
      <c r="E2" s="21"/>
      <c r="F2" s="21"/>
      <c r="G2" s="21"/>
      <c r="H2" s="21"/>
    </row>
    <row r="3" spans="1:8" ht="18" customHeight="1">
      <c r="A3" s="21" t="s">
        <v>120</v>
      </c>
      <c r="B3" s="21"/>
      <c r="C3" s="21"/>
      <c r="D3" s="21"/>
      <c r="E3" s="21"/>
      <c r="F3" s="21"/>
      <c r="G3" s="21"/>
      <c r="H3" s="21"/>
    </row>
    <row r="4" spans="1:8" ht="15.75" customHeight="1">
      <c r="A4" s="22" t="s">
        <v>121</v>
      </c>
      <c r="B4" s="22"/>
      <c r="C4" s="22"/>
      <c r="D4" s="22"/>
      <c r="E4" s="22"/>
      <c r="F4" s="22"/>
      <c r="G4" s="22"/>
      <c r="H4" s="22"/>
    </row>
    <row r="5" spans="1:8" ht="45.75" customHeight="1">
      <c r="A5" s="16" t="s">
        <v>122</v>
      </c>
      <c r="B5" s="16" t="s">
        <v>52</v>
      </c>
      <c r="C5" s="16" t="s">
        <v>32</v>
      </c>
      <c r="D5" s="16" t="s">
        <v>33</v>
      </c>
      <c r="E5" s="16" t="s">
        <v>34</v>
      </c>
      <c r="F5" s="16" t="s">
        <v>35</v>
      </c>
      <c r="G5" s="16" t="s">
        <v>36</v>
      </c>
      <c r="H5" s="16" t="s">
        <v>123</v>
      </c>
    </row>
    <row r="6" spans="1:8" ht="30" customHeight="1">
      <c r="A6" s="5" t="s">
        <v>124</v>
      </c>
      <c r="B6" s="6" t="s">
        <v>55</v>
      </c>
      <c r="C6" s="5" t="s">
        <v>125</v>
      </c>
      <c r="D6" s="5" t="s">
        <v>126</v>
      </c>
      <c r="E6" s="5" t="s">
        <v>42</v>
      </c>
      <c r="F6" s="5" t="s">
        <v>93</v>
      </c>
      <c r="G6" s="14">
        <v>46326</v>
      </c>
      <c r="H6" s="5" t="s">
        <v>127</v>
      </c>
    </row>
    <row r="7" spans="1:8" ht="24" customHeight="1">
      <c r="A7" s="10"/>
      <c r="B7" s="7"/>
      <c r="C7" s="10"/>
      <c r="D7" s="10"/>
      <c r="E7" s="7"/>
      <c r="F7" s="10"/>
      <c r="G7" s="15"/>
      <c r="H7" s="7"/>
    </row>
    <row r="8" spans="1:8" ht="24" customHeight="1">
      <c r="A8" s="10"/>
      <c r="B8" s="7"/>
      <c r="C8" s="10"/>
      <c r="D8" s="10"/>
      <c r="E8" s="7"/>
      <c r="F8" s="10"/>
      <c r="G8" s="15"/>
      <c r="H8" s="7"/>
    </row>
    <row r="9" spans="1:8" ht="24" customHeight="1">
      <c r="A9" s="10"/>
      <c r="B9" s="7"/>
      <c r="C9" s="10"/>
      <c r="D9" s="10"/>
      <c r="E9" s="7"/>
      <c r="F9" s="10"/>
      <c r="G9" s="15"/>
      <c r="H9" s="7"/>
    </row>
    <row r="10" spans="1:8" ht="24" customHeight="1">
      <c r="A10" s="10"/>
      <c r="B10" s="7"/>
      <c r="C10" s="10"/>
      <c r="D10" s="10"/>
      <c r="E10" s="7"/>
      <c r="F10" s="10"/>
      <c r="G10" s="15"/>
      <c r="H10" s="7"/>
    </row>
    <row r="11" spans="1:8" ht="24" customHeight="1">
      <c r="A11" s="10"/>
      <c r="B11" s="7"/>
      <c r="C11" s="10"/>
      <c r="D11" s="10"/>
      <c r="E11" s="7"/>
      <c r="F11" s="10"/>
      <c r="G11" s="15"/>
      <c r="H11" s="7"/>
    </row>
    <row r="12" spans="1:8" ht="24" customHeight="1">
      <c r="A12" s="10"/>
      <c r="B12" s="7"/>
      <c r="C12" s="10"/>
      <c r="D12" s="10"/>
      <c r="E12" s="7"/>
      <c r="F12" s="10"/>
      <c r="G12" s="15"/>
      <c r="H12" s="7"/>
    </row>
    <row r="13" spans="1:8" ht="24" customHeight="1">
      <c r="A13" s="10"/>
      <c r="B13" s="7"/>
      <c r="C13" s="10"/>
      <c r="D13" s="10"/>
      <c r="E13" s="7"/>
      <c r="F13" s="10"/>
      <c r="G13" s="15"/>
      <c r="H13" s="7"/>
    </row>
    <row r="14" spans="1:8" ht="24" customHeight="1">
      <c r="A14" s="10"/>
      <c r="B14" s="7"/>
      <c r="C14" s="10"/>
      <c r="D14" s="10"/>
      <c r="E14" s="7"/>
      <c r="F14" s="10"/>
      <c r="G14" s="15"/>
      <c r="H14" s="7"/>
    </row>
    <row r="15" spans="1:8" ht="24" customHeight="1">
      <c r="A15" s="10"/>
      <c r="B15" s="7"/>
      <c r="C15" s="10"/>
      <c r="D15" s="10"/>
      <c r="E15" s="7"/>
      <c r="F15" s="10"/>
      <c r="G15" s="15"/>
      <c r="H15" s="7"/>
    </row>
    <row r="16" spans="1:8" ht="24" customHeight="1">
      <c r="A16" s="10"/>
      <c r="B16" s="7"/>
      <c r="C16" s="10"/>
      <c r="D16" s="10"/>
      <c r="E16" s="7"/>
      <c r="F16" s="10"/>
      <c r="G16" s="15"/>
      <c r="H16" s="7"/>
    </row>
    <row r="17" spans="1:8" ht="24" customHeight="1">
      <c r="A17" s="10"/>
      <c r="B17" s="7"/>
      <c r="C17" s="10"/>
      <c r="D17" s="10"/>
      <c r="E17" s="7"/>
      <c r="F17" s="10"/>
      <c r="G17" s="15"/>
      <c r="H17" s="7"/>
    </row>
    <row r="18" spans="1:8" ht="24" customHeight="1">
      <c r="A18" s="10"/>
      <c r="B18" s="7"/>
      <c r="C18" s="10"/>
      <c r="D18" s="10"/>
      <c r="E18" s="7"/>
      <c r="F18" s="10"/>
      <c r="G18" s="15"/>
      <c r="H18" s="7"/>
    </row>
    <row r="19" spans="1:8" ht="24" customHeight="1">
      <c r="A19" s="10"/>
      <c r="B19" s="7"/>
      <c r="C19" s="10"/>
      <c r="D19" s="10"/>
      <c r="E19" s="7"/>
      <c r="F19" s="10"/>
      <c r="G19" s="15"/>
      <c r="H19" s="7"/>
    </row>
    <row r="20" spans="1:8" ht="24" customHeight="1">
      <c r="A20" s="10"/>
      <c r="B20" s="7"/>
      <c r="C20" s="10"/>
      <c r="D20" s="10"/>
      <c r="E20" s="7"/>
      <c r="F20" s="10"/>
      <c r="G20" s="15"/>
      <c r="H20" s="7"/>
    </row>
    <row r="22" spans="1:8" ht="15.75" customHeight="1">
      <c r="A22" s="22" t="s">
        <v>128</v>
      </c>
      <c r="B22" s="22"/>
      <c r="C22" s="22"/>
      <c r="D22" s="22"/>
      <c r="E22" s="22"/>
      <c r="F22" s="22"/>
      <c r="G22" s="22"/>
      <c r="H22" s="22"/>
    </row>
    <row r="23" spans="1:8" ht="16.5">
      <c r="A23" s="8" t="s">
        <v>129</v>
      </c>
      <c r="B23" s="9">
        <f>COUNTIF(H7:H20,"未着手")</f>
        <v>0</v>
      </c>
      <c r="C23" s="8" t="s">
        <v>127</v>
      </c>
      <c r="D23" s="9">
        <f>COUNTIF(H7:H20,"進行中")</f>
        <v>0</v>
      </c>
      <c r="E23" s="8" t="s">
        <v>130</v>
      </c>
      <c r="F23" s="9">
        <f>COUNTIF(H7:H20,"完了")</f>
        <v>0</v>
      </c>
    </row>
    <row r="25" spans="1:8" ht="15.75" customHeight="1">
      <c r="A25" s="22" t="s">
        <v>131</v>
      </c>
      <c r="B25" s="22"/>
      <c r="C25" s="22"/>
      <c r="D25" s="22"/>
      <c r="E25" s="22"/>
      <c r="F25" s="22"/>
      <c r="G25" s="22"/>
      <c r="H25" s="22"/>
    </row>
    <row r="26" spans="1:8" ht="16.5">
      <c r="A26" s="8" t="s">
        <v>45</v>
      </c>
      <c r="B26" s="9">
        <f>COUNTIF(E7:E20,"高")</f>
        <v>0</v>
      </c>
      <c r="C26" s="8" t="s">
        <v>42</v>
      </c>
      <c r="D26" s="9">
        <f>COUNTIF(E7:E20,"中")</f>
        <v>0</v>
      </c>
      <c r="E26" s="8" t="s">
        <v>46</v>
      </c>
      <c r="F26" s="9">
        <f>COUNTIF(E7:E20,"低")</f>
        <v>0</v>
      </c>
    </row>
  </sheetData>
  <mergeCells count="6">
    <mergeCell ref="A25:H25"/>
    <mergeCell ref="A1:H1"/>
    <mergeCell ref="A2:H2"/>
    <mergeCell ref="A3:H3"/>
    <mergeCell ref="A4:H4"/>
    <mergeCell ref="A22:H22"/>
  </mergeCells>
  <phoneticPr fontId="16"/>
  <dataValidations count="3">
    <dataValidation type="list" allowBlank="1" sqref="B7:B20" xr:uid="{00000000-0002-0000-0600-000000000000}">
      <formula1>"○,△,×"</formula1>
      <formula2>0</formula2>
    </dataValidation>
    <dataValidation type="list" allowBlank="1" sqref="E7:E20" xr:uid="{00000000-0002-0000-0600-000001000000}">
      <formula1>"高,中,低"</formula1>
      <formula2>0</formula2>
    </dataValidation>
    <dataValidation type="list" allowBlank="1" sqref="H7:H20" xr:uid="{00000000-0002-0000-0600-000002000000}">
      <formula1>"未着手,進行中,完了"</formula1>
      <formula2>0</formula2>
    </dataValidation>
  </dataValidations>
  <pageMargins left="0.5" right="0.5" top="0.6" bottom="0.6" header="0.511811023622047" footer="0.511811023622047"/>
  <pageSetup scale="88" fitToHeight="0"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目次</vt:lpstr>
      <vt:lpstr>4.1_PRP棚卸し</vt:lpstr>
      <vt:lpstr>4.2_食品安全文化</vt:lpstr>
      <vt:lpstr>4.3_食品ロスKPI</vt:lpstr>
      <vt:lpstr>4.4_表示管理</vt:lpstr>
      <vt:lpstr>4.5_AI利用リスク評価</vt:lpstr>
      <vt:lpstr>4.6_総合ギャップ分析</vt:lpstr>
      <vt:lpstr>'4.1_PRP棚卸し'!Print_Titles</vt:lpstr>
      <vt:lpstr>'4.2_食品安全文化'!Print_Titles</vt:lpstr>
      <vt:lpstr>'4.3_食品ロスKPI'!Print_Titles</vt:lpstr>
      <vt:lpstr>'4.4_表示管理'!Print_Titles</vt:lpstr>
      <vt:lpstr>'4.5_AI利用リスク評価'!Print_Titles</vt:lpstr>
      <vt:lpstr>'4.6_総合ギャップ分析'!Print_Titles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直樹 今</cp:lastModifiedBy>
  <cp:revision>0</cp:revision>
  <cp:lastPrinted>2026-08-31T05:54:37Z</cp:lastPrinted>
  <dcterms:created xsi:type="dcterms:W3CDTF">2026-08-31T03:12:22Z</dcterms:created>
  <dcterms:modified xsi:type="dcterms:W3CDTF">2026-09-01T04:37:13Z</dcterms:modified>
  <dc:language>en-US</dc:language>
</cp:coreProperties>
</file>